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A\Tecnicos\RSI\Ano1\MQI_Metodos_Quantitativos_para_a_Informatica\ProvasDeAnosAnteriores\Exames_e_Testes_23_24\"/>
    </mc:Choice>
  </mc:AlternateContent>
  <xr:revisionPtr revIDLastSave="0" documentId="13_ncr:1_{D2E9D5B5-B8E2-4997-A575-B11CEF745469}" xr6:coauthVersionLast="47" xr6:coauthVersionMax="47" xr10:uidLastSave="{00000000-0000-0000-0000-000000000000}"/>
  <bookViews>
    <workbookView xWindow="-98" yWindow="-98" windowWidth="24196" windowHeight="14476" xr2:uid="{C6D621DC-671B-4A58-B6A2-6B972383DD36}"/>
  </bookViews>
  <sheets>
    <sheet name="Teste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" l="1"/>
  <c r="M47" i="1" s="1"/>
  <c r="M48" i="1" s="1"/>
  <c r="M49" i="1" s="1"/>
  <c r="M50" i="1" s="1"/>
  <c r="M51" i="1" s="1"/>
  <c r="M45" i="1"/>
  <c r="M44" i="1"/>
  <c r="L46" i="1"/>
  <c r="L47" i="1" s="1"/>
  <c r="L48" i="1" s="1"/>
  <c r="L49" i="1" s="1"/>
  <c r="L50" i="1" s="1"/>
  <c r="L51" i="1" s="1"/>
  <c r="L45" i="1"/>
  <c r="L44" i="1"/>
  <c r="K52" i="1"/>
  <c r="J52" i="1"/>
  <c r="K45" i="1"/>
  <c r="K46" i="1"/>
  <c r="K47" i="1"/>
  <c r="K48" i="1"/>
  <c r="K49" i="1"/>
  <c r="K50" i="1"/>
  <c r="K51" i="1"/>
  <c r="K44" i="1"/>
  <c r="J44" i="1" a="1"/>
  <c r="J46" i="1" s="1"/>
  <c r="I45" i="1"/>
  <c r="I46" i="1"/>
  <c r="I47" i="1"/>
  <c r="I48" i="1"/>
  <c r="I49" i="1"/>
  <c r="I50" i="1"/>
  <c r="I51" i="1"/>
  <c r="I44" i="1"/>
  <c r="G50" i="1"/>
  <c r="G51" i="1" s="1"/>
  <c r="G52" i="1" s="1"/>
  <c r="G53" i="1" s="1"/>
  <c r="G54" i="1" s="1"/>
  <c r="G55" i="1" s="1"/>
  <c r="G56" i="1" s="1"/>
  <c r="G49" i="1"/>
  <c r="E53" i="1"/>
  <c r="E51" i="1"/>
  <c r="D50" i="1"/>
  <c r="D49" i="1"/>
  <c r="D48" i="1"/>
  <c r="F46" i="1"/>
  <c r="F59" i="1"/>
  <c r="J50" i="1" l="1"/>
  <c r="J47" i="1"/>
  <c r="J45" i="1"/>
  <c r="J44" i="1"/>
  <c r="J51" i="1"/>
  <c r="J49" i="1"/>
  <c r="J48" i="1"/>
</calcChain>
</file>

<file path=xl/sharedStrings.xml><?xml version="1.0" encoding="utf-8"?>
<sst xmlns="http://schemas.openxmlformats.org/spreadsheetml/2006/main" count="44" uniqueCount="44">
  <si>
    <t>Nome:</t>
  </si>
  <si>
    <t>Zona de resposta abaixo desta linha</t>
  </si>
  <si>
    <t>Comprimento dos parafusos</t>
  </si>
  <si>
    <t>1.1.</t>
  </si>
  <si>
    <t>Cálculos Regra de Sturges</t>
  </si>
  <si>
    <t>Classes</t>
  </si>
  <si>
    <t>1.2.</t>
  </si>
  <si>
    <t>a)</t>
  </si>
  <si>
    <t>b)</t>
  </si>
  <si>
    <t>c)</t>
  </si>
  <si>
    <t xml:space="preserve">e </t>
  </si>
  <si>
    <t>NºMec.</t>
  </si>
  <si>
    <t>Inês Nunes Santos</t>
  </si>
  <si>
    <t>Coluna1</t>
  </si>
  <si>
    <t>Média</t>
  </si>
  <si>
    <t>Erro-padrão</t>
  </si>
  <si>
    <t>Mediana</t>
  </si>
  <si>
    <t>Moda</t>
  </si>
  <si>
    <t>Desvio-padrão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</si>
  <si>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</si>
  <si>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</si>
  <si>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</si>
  <si>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</si>
  <si>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</si>
  <si>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</si>
  <si>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</si>
  <si>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</si>
  <si>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(Mediana)</t>
  </si>
  <si>
    <t>(Moda)</t>
  </si>
  <si>
    <t>Variável: comprimento de parafusos, em cm.</t>
  </si>
  <si>
    <t>Quantitativa Contínua.</t>
  </si>
  <si>
    <t xml:space="preserve">Dimensão da amostra: </t>
  </si>
  <si>
    <t>Mínimo:</t>
  </si>
  <si>
    <t>Máximo:</t>
  </si>
  <si>
    <t>Número de classes:</t>
  </si>
  <si>
    <t>Amplitude:</t>
  </si>
  <si>
    <t>Amplitude das classes:</t>
  </si>
  <si>
    <t>Limites das classes:</t>
  </si>
  <si>
    <t>ni</t>
  </si>
  <si>
    <t>fi</t>
  </si>
  <si>
    <t>Ni</t>
  </si>
  <si>
    <t>Fi</t>
  </si>
  <si>
    <t>TABELA DE FREQUÊNCIAS: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</si>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</sst>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%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Protection="1">
      <protection locked="0"/>
    </xf>
    <xf numFmtId="0" fontId="2" fillId="0" borderId="2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1" fillId="0" borderId="1" xfId="0" applyFont="1" applyBorder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3" fillId="0" borderId="1" xfId="0" applyFont="1" applyBorder="1" applyAlignment="1" applyProtection="1">
      <alignment horizontal="center" wrapText="1"/>
      <protection locked="0"/>
    </xf>
    <xf numFmtId="0" fontId="0" fillId="0" borderId="0" xfId="0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2" xfId="0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Alignment="1" applyProtection="1">
      <alignment horizontal="center"/>
      <protection locked="0"/>
    </xf>
    <xf numFmtId="0" fontId="3" fillId="3" borderId="4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0" fillId="0" borderId="0" xfId="0" applyFill="1" applyBorder="1" applyAlignment="1"/>
    <xf numFmtId="0" fontId="0" fillId="0" borderId="6" xfId="0" applyFill="1" applyBorder="1" applyAlignment="1"/>
    <xf numFmtId="0" fontId="6" fillId="0" borderId="7" xfId="0" applyFont="1" applyFill="1" applyBorder="1" applyAlignment="1">
      <alignment horizontal="centerContinuous"/>
    </xf>
    <xf numFmtId="0" fontId="0" fillId="0" borderId="0" xfId="0" applyProtection="1"/>
    <xf numFmtId="0" fontId="0" fillId="0" borderId="1" xfId="0" applyBorder="1" applyProtection="1"/>
    <xf numFmtId="0" fontId="0" fillId="0" borderId="0" xfId="0" applyAlignment="1" applyProtection="1">
      <alignment horizontal="right"/>
      <protection locked="0"/>
    </xf>
    <xf numFmtId="0" fontId="0" fillId="0" borderId="0" xfId="0" applyAlignment="1" applyProtection="1">
      <alignment horizontal="center"/>
    </xf>
    <xf numFmtId="167" fontId="0" fillId="0" borderId="0" xfId="1" applyNumberFormat="1" applyFont="1" applyProtection="1"/>
    <xf numFmtId="167" fontId="0" fillId="0" borderId="0" xfId="0" applyNumberFormat="1" applyProtection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colors>
    <mruColors>
      <color rgb="FF9DEBA3"/>
      <color rgb="FF83E58A"/>
      <color rgb="FFC2F2C5"/>
      <color rgb="FFDDFFDD"/>
      <color rgb="FFB7FFB7"/>
      <color rgb="FF99FF99"/>
      <color rgb="FFC5EB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419100</xdr:colOff>
      <xdr:row>5</xdr:row>
      <xdr:rowOff>129540</xdr:rowOff>
    </xdr:from>
    <xdr:ext cx="9159240" cy="1626190"/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43392B3-9FBB-4976-9D1C-88DAA32E871F}"/>
            </a:ext>
          </a:extLst>
        </xdr:cNvPr>
        <xdr:cNvSpPr/>
      </xdr:nvSpPr>
      <xdr:spPr>
        <a:xfrm>
          <a:off x="419100" y="1043940"/>
          <a:ext cx="9159240" cy="1626190"/>
        </a:xfrm>
        <a:prstGeom prst="roundRect">
          <a:avLst/>
        </a:prstGeom>
        <a:solidFill>
          <a:srgbClr val="99DB99"/>
        </a:solidFill>
        <a:ln w="19050">
          <a:solidFill>
            <a:srgbClr val="154F18"/>
          </a:solidFill>
        </a:ln>
      </xdr:spPr>
      <xdr:txBody>
        <a:bodyPr wrap="square" lIns="91440" tIns="45720" rIns="91440" bIns="45720">
          <a:spAutoFit/>
        </a:bodyPr>
        <a:lstStyle/>
        <a:p>
          <a:pPr algn="ctr"/>
          <a:r>
            <a:rPr lang="pt-PT" sz="3200" b="1" cap="none" spc="0">
              <a:ln w="12700">
                <a:solidFill>
                  <a:srgbClr val="00682F"/>
                </a:solidFill>
                <a:prstDash val="solid"/>
              </a:ln>
              <a:solidFill>
                <a:schemeClr val="bg1"/>
              </a:solidFill>
              <a:effectLst/>
            </a:rPr>
            <a:t>MÉTODOS</a:t>
          </a:r>
          <a:r>
            <a:rPr lang="pt-PT" sz="3200" b="1" cap="none" spc="0" baseline="0">
              <a:ln w="12700">
                <a:solidFill>
                  <a:srgbClr val="00682F"/>
                </a:solidFill>
                <a:prstDash val="solid"/>
              </a:ln>
              <a:solidFill>
                <a:schemeClr val="bg1"/>
              </a:solidFill>
              <a:effectLst/>
            </a:rPr>
            <a:t> QUANTITATIVOS PARA A INFORMÁTICA</a:t>
          </a:r>
        </a:p>
        <a:p>
          <a:pPr algn="ctr"/>
          <a:r>
            <a:rPr lang="pt-PT" sz="3200" b="1" cap="none" spc="0" baseline="0">
              <a:ln w="12700">
                <a:solidFill>
                  <a:srgbClr val="00682F"/>
                </a:solidFill>
                <a:prstDash val="solid"/>
              </a:ln>
              <a:solidFill>
                <a:schemeClr val="bg1"/>
              </a:solidFill>
              <a:effectLst/>
            </a:rPr>
            <a:t>CTeSPs em CS, RSI e PSI </a:t>
          </a:r>
        </a:p>
        <a:p>
          <a:pPr algn="ctr"/>
          <a:r>
            <a:rPr lang="pt-PT" sz="2400" b="1" cap="none" spc="0" baseline="0">
              <a:ln w="12700">
                <a:solidFill>
                  <a:srgbClr val="00682F"/>
                </a:solidFill>
                <a:prstDash val="solid"/>
              </a:ln>
              <a:solidFill>
                <a:schemeClr val="bg1"/>
              </a:solidFill>
              <a:effectLst/>
            </a:rPr>
            <a:t>12/01/2024                       Teste 3                       Duração: 45 min</a:t>
          </a:r>
        </a:p>
      </xdr:txBody>
    </xdr:sp>
    <xdr:clientData/>
  </xdr:oneCellAnchor>
  <xdr:twoCellAnchor editAs="oneCell">
    <xdr:from>
      <xdr:col>0</xdr:col>
      <xdr:colOff>594359</xdr:colOff>
      <xdr:row>0</xdr:row>
      <xdr:rowOff>129540</xdr:rowOff>
    </xdr:from>
    <xdr:to>
      <xdr:col>12</xdr:col>
      <xdr:colOff>390776</xdr:colOff>
      <xdr:row>5</xdr:row>
      <xdr:rowOff>30480</xdr:rowOff>
    </xdr:to>
    <xdr:pic>
      <xdr:nvPicPr>
        <xdr:cNvPr id="3" name="Imagem 2" descr="Uma imagem com texto, captura de ecrã, software, Software de multimédia&#10;&#10;Descrição gerada automaticamente">
          <a:extLst>
            <a:ext uri="{FF2B5EF4-FFF2-40B4-BE49-F238E27FC236}">
              <a16:creationId xmlns:a16="http://schemas.microsoft.com/office/drawing/2014/main" id="{1A37CBCE-A6B8-85B0-ADD5-8C506CE9E4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438" t="47036" r="6300" b="37186"/>
        <a:stretch/>
      </xdr:blipFill>
      <xdr:spPr>
        <a:xfrm>
          <a:off x="594359" y="129540"/>
          <a:ext cx="8384157" cy="815340"/>
        </a:xfrm>
        <a:prstGeom prst="rect">
          <a:avLst/>
        </a:prstGeom>
      </xdr:spPr>
    </xdr:pic>
    <xdr:clientData/>
  </xdr:twoCellAnchor>
  <xdr:twoCellAnchor editAs="absolute">
    <xdr:from>
      <xdr:col>0</xdr:col>
      <xdr:colOff>419100</xdr:colOff>
      <xdr:row>24</xdr:row>
      <xdr:rowOff>7620</xdr:rowOff>
    </xdr:from>
    <xdr:to>
      <xdr:col>13</xdr:col>
      <xdr:colOff>15240</xdr:colOff>
      <xdr:row>37</xdr:row>
      <xdr:rowOff>166580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2F2DE597-964B-4E0D-BD04-7A12FC0F059A}"/>
                </a:ext>
              </a:extLst>
            </xdr:cNvPr>
            <xdr:cNvSpPr txBox="1"/>
          </xdr:nvSpPr>
          <xdr:spPr>
            <a:xfrm>
              <a:off x="419100" y="4671060"/>
              <a:ext cx="8793480" cy="2536400"/>
            </a:xfrm>
            <a:prstGeom prst="rect">
              <a:avLst/>
            </a:prstGeom>
            <a:solidFill>
              <a:srgbClr val="9DEBA3"/>
            </a:solidFill>
            <a:ln>
              <a:solidFill>
                <a:srgbClr val="7030A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PT" sz="1200" b="1"/>
                <a:t>1. [100pt] </a:t>
              </a:r>
              <a:r>
                <a:rPr lang="pt-PT" sz="1200" b="0"/>
                <a:t> A</a:t>
              </a:r>
              <a:r>
                <a:rPr lang="pt-PT" sz="1200" b="0" baseline="0"/>
                <a:t> secção da qualidade de uma fábrica de parafusos escolhe, aleatoriamente, uma amostra de 140 parafusos produzidos por uma determinada máquina. Abaixo estão registados os comprimentos desses parafusos, dados em </a:t>
              </a:r>
              <a14:m>
                <m:oMath xmlns:m="http://schemas.openxmlformats.org/officeDocument/2006/math">
                  <m:r>
                    <a:rPr lang="pt-PT" sz="1200" b="0" i="1" baseline="0">
                      <a:latin typeface="Cambria Math" panose="02040503050406030204" pitchFamily="18" charset="0"/>
                    </a:rPr>
                    <m:t>𝑐𝑚</m:t>
                  </m:r>
                </m:oMath>
              </a14:m>
              <a:r>
                <a:rPr lang="pt-PT" sz="1200" b="0"/>
                <a:t>.</a:t>
              </a:r>
            </a:p>
            <a:p>
              <a:endParaRPr lang="pt-PT" sz="1200" b="0"/>
            </a:p>
            <a:p>
              <a:r>
                <a:rPr lang="pt-PT" sz="1200" b="1"/>
                <a:t>1.1.</a:t>
              </a:r>
              <a:r>
                <a:rPr lang="pt-PT" sz="1200" b="0"/>
                <a:t> Agrupe</a:t>
              </a:r>
              <a:r>
                <a:rPr lang="pt-PT" sz="1200" b="0" baseline="0"/>
                <a:t> os dados em classes usando a regra de Sturges e elabore uma tabela de frequências absolutas e relativas.</a:t>
              </a:r>
            </a:p>
            <a:p>
              <a:endParaRPr lang="pt-PT" sz="1200" b="0" baseline="0"/>
            </a:p>
            <a:p>
              <a:r>
                <a:rPr lang="pt-PT" sz="1200" b="1" baseline="0"/>
                <a:t>1.2.</a:t>
              </a:r>
              <a:r>
                <a:rPr lang="pt-PT" sz="1200" b="0" baseline="0"/>
                <a:t> Utilizando as ferramentas e funções do Excel que achar convenientes, obtenha a informação necessária para completar as seguintes afirmações:</a:t>
              </a:r>
            </a:p>
            <a:p>
              <a:endParaRPr lang="pt-PT" sz="1200" b="1" baseline="0"/>
            </a:p>
            <a:p>
              <a:r>
                <a:rPr lang="pt-PT" sz="1200" b="1" baseline="0"/>
                <a:t>   a)</a:t>
              </a:r>
              <a:r>
                <a:rPr lang="pt-PT" sz="1200" b="0" baseline="0"/>
                <a:t> O comprimento mais frequente dos parafusos é ______________.</a:t>
              </a:r>
            </a:p>
            <a:p>
              <a:endParaRPr lang="pt-PT" sz="1200" b="0" baseline="0"/>
            </a:p>
            <a:p>
              <a:r>
                <a:rPr lang="pt-PT" sz="1200" b="0" baseline="0"/>
                <a:t>   </a:t>
              </a:r>
              <a:r>
                <a:rPr lang="pt-PT" sz="1200" b="1" baseline="0"/>
                <a:t>b)</a:t>
              </a:r>
              <a:r>
                <a:rPr lang="pt-PT" sz="1200" b="0" baseline="0"/>
                <a:t> A variância dos comprimentos dos parafusos é ______________ e a amplitude dos valores da amostra é _____________.</a:t>
              </a:r>
            </a:p>
            <a:p>
              <a:endParaRPr lang="pt-PT" sz="1200" b="0" baseline="0"/>
            </a:p>
            <a:p>
              <a:r>
                <a:rPr lang="pt-PT" sz="1200" b="0" baseline="0"/>
                <a:t>   </a:t>
              </a:r>
              <a:r>
                <a:rPr lang="pt-PT" sz="1200" b="1" baseline="0"/>
                <a:t>c)</a:t>
              </a:r>
              <a:r>
                <a:rPr lang="pt-PT" sz="1200" b="0" baseline="0"/>
                <a:t> O comprimento máximo de um parafuso que pertence ao grupo dos 50% mais pequenos é ______________.</a:t>
              </a:r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2F2DE597-964B-4E0D-BD04-7A12FC0F059A}"/>
                </a:ext>
              </a:extLst>
            </xdr:cNvPr>
            <xdr:cNvSpPr txBox="1"/>
          </xdr:nvSpPr>
          <xdr:spPr>
            <a:xfrm>
              <a:off x="419100" y="4671060"/>
              <a:ext cx="8793480" cy="2536400"/>
            </a:xfrm>
            <a:prstGeom prst="rect">
              <a:avLst/>
            </a:prstGeom>
            <a:solidFill>
              <a:srgbClr val="9DEBA3"/>
            </a:solidFill>
            <a:ln>
              <a:solidFill>
                <a:srgbClr val="7030A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pt-PT" sz="1200" b="1"/>
                <a:t>1. [100pt] </a:t>
              </a:r>
              <a:r>
                <a:rPr lang="pt-PT" sz="1200" b="0"/>
                <a:t> A</a:t>
              </a:r>
              <a:r>
                <a:rPr lang="pt-PT" sz="1200" b="0" baseline="0"/>
                <a:t> secção da qualidade de uma fábrica de parafusos escolhe, aleatoriamente, uma amostra de 140 parafusos produzidos por uma determinada máquina. Abaixo estão registados os comprimentos desses parafusos, dados em </a:t>
              </a:r>
              <a:r>
                <a:rPr lang="pt-PT" sz="1200" b="0" i="0" baseline="0">
                  <a:latin typeface="Cambria Math" panose="02040503050406030204" pitchFamily="18" charset="0"/>
                </a:rPr>
                <a:t>𝑐𝑚</a:t>
              </a:r>
              <a:r>
                <a:rPr lang="pt-PT" sz="1200" b="0"/>
                <a:t>.</a:t>
              </a:r>
            </a:p>
            <a:p>
              <a:endParaRPr lang="pt-PT" sz="1200" b="0"/>
            </a:p>
            <a:p>
              <a:r>
                <a:rPr lang="pt-PT" sz="1200" b="1"/>
                <a:t>1.1.</a:t>
              </a:r>
              <a:r>
                <a:rPr lang="pt-PT" sz="1200" b="0"/>
                <a:t> Agrupe</a:t>
              </a:r>
              <a:r>
                <a:rPr lang="pt-PT" sz="1200" b="0" baseline="0"/>
                <a:t> os dados em classes usando a regra de Sturges e elabore uma tabela de frequências absolutas e relativas.</a:t>
              </a:r>
            </a:p>
            <a:p>
              <a:endParaRPr lang="pt-PT" sz="1200" b="0" baseline="0"/>
            </a:p>
            <a:p>
              <a:r>
                <a:rPr lang="pt-PT" sz="1200" b="1" baseline="0"/>
                <a:t>1.2.</a:t>
              </a:r>
              <a:r>
                <a:rPr lang="pt-PT" sz="1200" b="0" baseline="0"/>
                <a:t> Utilizando as ferramentas e funções do Excel que achar convenientes, obtenha a informação necessária para completar as seguintes afirmações:</a:t>
              </a:r>
            </a:p>
            <a:p>
              <a:endParaRPr lang="pt-PT" sz="1200" b="1" baseline="0"/>
            </a:p>
            <a:p>
              <a:r>
                <a:rPr lang="pt-PT" sz="1200" b="1" baseline="0"/>
                <a:t>   a)</a:t>
              </a:r>
              <a:r>
                <a:rPr lang="pt-PT" sz="1200" b="0" baseline="0"/>
                <a:t> O comprimento mais frequente dos parafusos é ______________.</a:t>
              </a:r>
            </a:p>
            <a:p>
              <a:endParaRPr lang="pt-PT" sz="1200" b="0" baseline="0"/>
            </a:p>
            <a:p>
              <a:r>
                <a:rPr lang="pt-PT" sz="1200" b="0" baseline="0"/>
                <a:t>   </a:t>
              </a:r>
              <a:r>
                <a:rPr lang="pt-PT" sz="1200" b="1" baseline="0"/>
                <a:t>b)</a:t>
              </a:r>
              <a:r>
                <a:rPr lang="pt-PT" sz="1200" b="0" baseline="0"/>
                <a:t> A variância dos comprimentos dos parafusos é ______________ e a amplitude dos valores da amostra é _____________.</a:t>
              </a:r>
            </a:p>
            <a:p>
              <a:endParaRPr lang="pt-PT" sz="1200" b="0" baseline="0"/>
            </a:p>
            <a:p>
              <a:r>
                <a:rPr lang="pt-PT" sz="1200" b="0" baseline="0"/>
                <a:t>   </a:t>
              </a:r>
              <a:r>
                <a:rPr lang="pt-PT" sz="1200" b="1" baseline="0"/>
                <a:t>c)</a:t>
              </a:r>
              <a:r>
                <a:rPr lang="pt-PT" sz="1200" b="0" baseline="0"/>
                <a:t> O comprimento máximo de um parafuso que pertence ao grupo dos 50% mais pequenos é ______________.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525780</xdr:colOff>
      <xdr:row>17</xdr:row>
      <xdr:rowOff>201975</xdr:rowOff>
    </xdr:from>
    <xdr:to>
      <xdr:col>11</xdr:col>
      <xdr:colOff>289560</xdr:colOff>
      <xdr:row>22</xdr:row>
      <xdr:rowOff>125849</xdr:rowOff>
    </xdr:to>
    <xdr:pic>
      <xdr:nvPicPr>
        <xdr:cNvPr id="5" name="Imagem 4" descr="Uma imagem com texto, captura de ecrã, software, Ícone de computador&#10;&#10;Descrição gerada automaticamente">
          <a:extLst>
            <a:ext uri="{FF2B5EF4-FFF2-40B4-BE49-F238E27FC236}">
              <a16:creationId xmlns:a16="http://schemas.microsoft.com/office/drawing/2014/main" id="{330303A9-FC01-5DD2-3678-15F63ABD31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" t="41791" r="5386" b="32047"/>
        <a:stretch/>
      </xdr:blipFill>
      <xdr:spPr>
        <a:xfrm>
          <a:off x="1493520" y="3356655"/>
          <a:ext cx="6774180" cy="1066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47753-3A06-42EF-AC81-1AD177629C21}">
  <dimension ref="A1:O310"/>
  <sheetViews>
    <sheetView tabSelected="1" topLeftCell="A39" zoomScaleNormal="100" workbookViewId="0">
      <selection activeCell="S45" sqref="S45"/>
    </sheetView>
  </sheetViews>
  <sheetFormatPr defaultRowHeight="14.25" x14ac:dyDescent="0.45"/>
  <cols>
    <col min="1" max="1" width="14.1328125" customWidth="1"/>
    <col min="9" max="9" width="22.19921875" customWidth="1"/>
  </cols>
  <sheetData>
    <row r="1" customFormat="1" x14ac:dyDescent="0.45"/>
    <row r="2" customFormat="1" x14ac:dyDescent="0.45"/>
    <row r="3" customFormat="1" x14ac:dyDescent="0.45"/>
    <row r="4" customFormat="1" x14ac:dyDescent="0.45"/>
    <row r="5" customFormat="1" x14ac:dyDescent="0.45"/>
    <row r="6" customFormat="1" x14ac:dyDescent="0.45"/>
    <row r="7" customFormat="1" x14ac:dyDescent="0.45"/>
    <row r="8" customFormat="1" x14ac:dyDescent="0.45"/>
    <row r="9" customFormat="1" x14ac:dyDescent="0.45"/>
    <row r="10" customFormat="1" x14ac:dyDescent="0.45"/>
    <row r="11" customFormat="1" x14ac:dyDescent="0.45"/>
    <row r="12" customFormat="1" x14ac:dyDescent="0.45"/>
    <row r="13" customFormat="1" x14ac:dyDescent="0.45"/>
    <row r="14" customFormat="1" x14ac:dyDescent="0.45"/>
    <row r="15" customFormat="1" x14ac:dyDescent="0.45"/>
    <row r="16" s="1" customFormat="1" x14ac:dyDescent="0.45"/>
    <row r="17" spans="2:15" s="1" customFormat="1" ht="18" x14ac:dyDescent="0.55000000000000004">
      <c r="B17" s="2" t="s">
        <v>0</v>
      </c>
      <c r="C17" s="21" t="s">
        <v>12</v>
      </c>
      <c r="D17" s="22"/>
      <c r="E17" s="22"/>
      <c r="F17" s="22"/>
      <c r="G17" s="22"/>
      <c r="H17" s="22"/>
      <c r="I17" s="22"/>
      <c r="J17" s="23"/>
      <c r="K17" s="3"/>
      <c r="L17" s="4" t="s">
        <v>11</v>
      </c>
      <c r="M17" s="24">
        <v>103477</v>
      </c>
      <c r="N17" s="25"/>
      <c r="O17" s="5"/>
    </row>
    <row r="18" spans="2:15" s="1" customFormat="1" ht="18" x14ac:dyDescent="0.55000000000000004">
      <c r="B18" s="5"/>
      <c r="C18" s="11"/>
      <c r="D18" s="11"/>
      <c r="E18" s="11"/>
      <c r="F18" s="11"/>
      <c r="G18" s="11"/>
      <c r="H18" s="11"/>
      <c r="I18" s="11"/>
      <c r="J18" s="11"/>
      <c r="K18" s="5"/>
      <c r="L18" s="12"/>
      <c r="M18" s="13"/>
      <c r="N18" s="13"/>
      <c r="O18" s="5"/>
    </row>
    <row r="19" spans="2:15" s="1" customFormat="1" ht="18" x14ac:dyDescent="0.55000000000000004">
      <c r="B19" s="5"/>
      <c r="C19" s="11"/>
      <c r="D19" s="11"/>
      <c r="E19" s="11"/>
      <c r="F19" s="11"/>
      <c r="G19" s="11"/>
      <c r="H19" s="11"/>
      <c r="I19" s="11"/>
      <c r="J19" s="11"/>
      <c r="K19" s="5"/>
      <c r="L19" s="12"/>
      <c r="M19" s="13"/>
      <c r="N19" s="13"/>
      <c r="O19" s="5"/>
    </row>
    <row r="20" spans="2:15" s="1" customFormat="1" ht="18" x14ac:dyDescent="0.55000000000000004">
      <c r="B20" s="5"/>
      <c r="C20" s="11"/>
      <c r="D20" s="11"/>
      <c r="E20" s="11"/>
      <c r="F20" s="11"/>
      <c r="G20" s="11"/>
      <c r="H20" s="11"/>
      <c r="I20" s="11"/>
      <c r="J20" s="11"/>
      <c r="K20" s="5"/>
      <c r="L20" s="12"/>
      <c r="M20" s="13"/>
      <c r="N20" s="13"/>
      <c r="O20" s="5"/>
    </row>
    <row r="21" spans="2:15" s="1" customFormat="1" ht="18" x14ac:dyDescent="0.55000000000000004">
      <c r="B21" s="5"/>
      <c r="C21" s="11"/>
      <c r="D21" s="11"/>
      <c r="E21" s="11"/>
      <c r="F21" s="11"/>
      <c r="G21" s="11"/>
      <c r="H21" s="11"/>
      <c r="I21" s="11"/>
      <c r="J21" s="11"/>
      <c r="K21" s="5"/>
      <c r="L21" s="12"/>
      <c r="M21" s="13"/>
      <c r="N21" s="13"/>
      <c r="O21" s="5"/>
    </row>
    <row r="22" spans="2:15" s="1" customFormat="1" ht="18" x14ac:dyDescent="0.55000000000000004">
      <c r="B22" s="5"/>
      <c r="C22" s="11"/>
      <c r="D22" s="11"/>
      <c r="E22" s="11"/>
      <c r="F22" s="11"/>
      <c r="G22" s="11"/>
      <c r="H22" s="11"/>
      <c r="I22" s="11"/>
      <c r="J22" s="11"/>
      <c r="K22" s="5"/>
      <c r="L22" s="12"/>
      <c r="M22" s="13"/>
      <c r="N22" s="13"/>
      <c r="O22" s="5"/>
    </row>
    <row r="23" spans="2:15" s="1" customFormat="1" x14ac:dyDescent="0.45"/>
    <row r="40" spans="1:14" s="17" customFormat="1" x14ac:dyDescent="0.45">
      <c r="A40" s="16" t="s">
        <v>1</v>
      </c>
    </row>
    <row r="41" spans="1:14" s="1" customFormat="1" x14ac:dyDescent="0.45"/>
    <row r="42" spans="1:14" s="1" customFormat="1" ht="31.5" x14ac:dyDescent="0.5">
      <c r="A42" s="6" t="s">
        <v>2</v>
      </c>
      <c r="I42" s="1" t="s">
        <v>42</v>
      </c>
    </row>
    <row r="43" spans="1:14" s="1" customFormat="1" ht="15.75" x14ac:dyDescent="0.5">
      <c r="A43" s="7">
        <v>5.87</v>
      </c>
      <c r="C43" s="8" t="s">
        <v>3</v>
      </c>
      <c r="D43" s="18" t="s">
        <v>4</v>
      </c>
      <c r="E43" s="19"/>
      <c r="F43" s="20"/>
      <c r="I43" s="9" t="s">
        <v>5</v>
      </c>
      <c r="J43" s="14" t="s">
        <v>38</v>
      </c>
      <c r="K43" s="15" t="s">
        <v>39</v>
      </c>
      <c r="L43" s="15" t="s">
        <v>40</v>
      </c>
      <c r="M43" s="15" t="s">
        <v>41</v>
      </c>
      <c r="N43" s="15"/>
    </row>
    <row r="44" spans="1:14" s="1" customFormat="1" x14ac:dyDescent="0.45">
      <c r="A44" s="7">
        <v>5.54</v>
      </c>
      <c r="C44" s="1" t="s">
        <v>29</v>
      </c>
      <c r="I44" s="32" t="str">
        <f>CONCATENATE("]",G48,";",G49,"]")</f>
        <v>]4;4,25]</v>
      </c>
      <c r="J44" s="29">
        <f t="array" ref="J44:J51">FREQUENCY(A43:A182,G49:G56)</f>
        <v>20</v>
      </c>
      <c r="K44" s="33">
        <f>J44/140</f>
        <v>0.14285714285714285</v>
      </c>
      <c r="L44" s="29">
        <f>J44</f>
        <v>20</v>
      </c>
      <c r="M44" s="34">
        <f>K44</f>
        <v>0.14285714285714285</v>
      </c>
    </row>
    <row r="45" spans="1:14" s="1" customFormat="1" x14ac:dyDescent="0.45">
      <c r="A45" s="7">
        <v>5.91</v>
      </c>
      <c r="C45" s="1" t="s">
        <v>30</v>
      </c>
      <c r="I45" s="32" t="str">
        <f t="shared" ref="I45:I51" si="0">CONCATENATE("]",G49,";",G50,"]")</f>
        <v>]4,25;4,5]</v>
      </c>
      <c r="J45" s="29">
        <v>17</v>
      </c>
      <c r="K45" s="33">
        <f t="shared" ref="K45:K51" si="1">J45/140</f>
        <v>0.12142857142857143</v>
      </c>
      <c r="L45" s="29">
        <f>J45+L44</f>
        <v>37</v>
      </c>
      <c r="M45" s="34">
        <f>M44+K45</f>
        <v>0.26428571428571429</v>
      </c>
    </row>
    <row r="46" spans="1:14" s="1" customFormat="1" x14ac:dyDescent="0.45">
      <c r="A46" s="7">
        <v>4.3099999999999996</v>
      </c>
      <c r="C46" s="1" t="s">
        <v>31</v>
      </c>
      <c r="E46" s="1">
        <v>140</v>
      </c>
      <c r="F46" s="29">
        <f>COUNT(A43:A182)</f>
        <v>140</v>
      </c>
      <c r="I46" s="32" t="str">
        <f t="shared" si="0"/>
        <v>]4,5;4,75]</v>
      </c>
      <c r="J46" s="29">
        <v>16</v>
      </c>
      <c r="K46" s="33">
        <f t="shared" si="1"/>
        <v>0.11428571428571428</v>
      </c>
      <c r="L46" s="29">
        <f t="shared" ref="L46:L51" si="2">J46+L45</f>
        <v>53</v>
      </c>
      <c r="M46" s="34">
        <f t="shared" ref="M46:M51" si="3">M45+K46</f>
        <v>0.37857142857142856</v>
      </c>
    </row>
    <row r="47" spans="1:14" s="1" customFormat="1" x14ac:dyDescent="0.45">
      <c r="A47" s="7">
        <v>4.66</v>
      </c>
      <c r="G47" s="1" t="s">
        <v>37</v>
      </c>
      <c r="I47" s="32" t="str">
        <f t="shared" si="0"/>
        <v>]4,75;5]</v>
      </c>
      <c r="J47" s="29">
        <v>19</v>
      </c>
      <c r="K47" s="33">
        <f t="shared" si="1"/>
        <v>0.1357142857142857</v>
      </c>
      <c r="L47" s="29">
        <f t="shared" si="2"/>
        <v>72</v>
      </c>
      <c r="M47" s="34">
        <f t="shared" si="3"/>
        <v>0.51428571428571423</v>
      </c>
    </row>
    <row r="48" spans="1:14" s="1" customFormat="1" x14ac:dyDescent="0.45">
      <c r="A48" s="7">
        <v>5.09</v>
      </c>
      <c r="C48" s="1" t="s">
        <v>32</v>
      </c>
      <c r="D48" s="29">
        <f>MIN(A43:A182)</f>
        <v>4.0199999999999996</v>
      </c>
      <c r="G48" s="1">
        <v>4</v>
      </c>
      <c r="I48" s="32" t="str">
        <f t="shared" si="0"/>
        <v>]5;5,25]</v>
      </c>
      <c r="J48" s="29">
        <v>17</v>
      </c>
      <c r="K48" s="33">
        <f t="shared" si="1"/>
        <v>0.12142857142857143</v>
      </c>
      <c r="L48" s="29">
        <f t="shared" si="2"/>
        <v>89</v>
      </c>
      <c r="M48" s="34">
        <f t="shared" si="3"/>
        <v>0.63571428571428568</v>
      </c>
    </row>
    <row r="49" spans="1:13" s="1" customFormat="1" x14ac:dyDescent="0.45">
      <c r="A49" s="7">
        <v>5.58</v>
      </c>
      <c r="C49" s="1" t="s">
        <v>33</v>
      </c>
      <c r="D49" s="29">
        <f>MAX(A43:A182)</f>
        <v>5.98</v>
      </c>
      <c r="G49" s="29">
        <f>G48+0.25</f>
        <v>4.25</v>
      </c>
      <c r="I49" s="32" t="str">
        <f t="shared" si="0"/>
        <v>]5,25;5,5]</v>
      </c>
      <c r="J49" s="29">
        <v>18</v>
      </c>
      <c r="K49" s="33">
        <f t="shared" si="1"/>
        <v>0.12857142857142856</v>
      </c>
      <c r="L49" s="29">
        <f t="shared" si="2"/>
        <v>107</v>
      </c>
      <c r="M49" s="34">
        <f t="shared" si="3"/>
        <v>0.76428571428571423</v>
      </c>
    </row>
    <row r="50" spans="1:13" s="1" customFormat="1" x14ac:dyDescent="0.45">
      <c r="A50" s="7">
        <v>4.5</v>
      </c>
      <c r="C50" s="1" t="s">
        <v>35</v>
      </c>
      <c r="D50" s="29">
        <f>D49-D48</f>
        <v>1.9600000000000009</v>
      </c>
      <c r="G50" s="29">
        <f t="shared" ref="G50:G56" si="4">G49+0.25</f>
        <v>4.5</v>
      </c>
      <c r="I50" s="32" t="str">
        <f t="shared" si="0"/>
        <v>]5,5;5,75]</v>
      </c>
      <c r="J50" s="29">
        <v>20</v>
      </c>
      <c r="K50" s="33">
        <f t="shared" si="1"/>
        <v>0.14285714285714285</v>
      </c>
      <c r="L50" s="29">
        <f t="shared" si="2"/>
        <v>127</v>
      </c>
      <c r="M50" s="34">
        <f t="shared" si="3"/>
        <v>0.90714285714285703</v>
      </c>
    </row>
    <row r="51" spans="1:13" s="1" customFormat="1" x14ac:dyDescent="0.45">
      <c r="A51" s="7">
        <v>5.79</v>
      </c>
      <c r="C51" s="1" t="s">
        <v>34</v>
      </c>
      <c r="E51" s="29">
        <f>INT(LOG(140,2))+1</f>
        <v>8</v>
      </c>
      <c r="G51" s="29">
        <f t="shared" si="4"/>
        <v>4.75</v>
      </c>
      <c r="I51" s="32" t="str">
        <f t="shared" si="0"/>
        <v>]5,75;6]</v>
      </c>
      <c r="J51" s="29">
        <v>13</v>
      </c>
      <c r="K51" s="33">
        <f t="shared" si="1"/>
        <v>9.285714285714286E-2</v>
      </c>
      <c r="L51" s="29">
        <f t="shared" si="2"/>
        <v>140</v>
      </c>
      <c r="M51" s="34">
        <f t="shared" si="3"/>
        <v>0.99999999999999989</v>
      </c>
    </row>
    <row r="52" spans="1:13" s="1" customFormat="1" x14ac:dyDescent="0.45">
      <c r="A52" s="7">
        <v>4.66</v>
      </c>
      <c r="G52" s="29">
        <f t="shared" si="4"/>
        <v>5</v>
      </c>
      <c r="I52" s="31" t="s">
        <v>43</v>
      </c>
      <c r="J52" s="29">
        <f>SUM(J44:J51)</f>
        <v>140</v>
      </c>
      <c r="K52" s="34">
        <f>SUM(K44:K51)</f>
        <v>0.99999999999999989</v>
      </c>
    </row>
    <row r="53" spans="1:13" s="1" customFormat="1" x14ac:dyDescent="0.45">
      <c r="A53" s="7">
        <v>4.83</v>
      </c>
      <c r="C53" s="1" t="s">
        <v>36</v>
      </c>
      <c r="E53" s="29">
        <f>(D49-D48)/8</f>
        <v>0.24500000000000011</v>
      </c>
      <c r="G53" s="29">
        <f t="shared" si="4"/>
        <v>5.25</v>
      </c>
    </row>
    <row r="54" spans="1:13" s="1" customFormat="1" x14ac:dyDescent="0.45">
      <c r="A54" s="7">
        <v>5.38</v>
      </c>
      <c r="G54" s="29">
        <f t="shared" si="4"/>
        <v>5.5</v>
      </c>
    </row>
    <row r="55" spans="1:13" s="1" customFormat="1" x14ac:dyDescent="0.45">
      <c r="A55" s="7">
        <v>5.51</v>
      </c>
      <c r="G55" s="29">
        <f t="shared" si="4"/>
        <v>5.75</v>
      </c>
    </row>
    <row r="56" spans="1:13" s="1" customFormat="1" x14ac:dyDescent="0.45">
      <c r="A56" s="7">
        <v>5.26</v>
      </c>
      <c r="G56" s="29">
        <f t="shared" si="4"/>
        <v>6</v>
      </c>
    </row>
    <row r="57" spans="1:13" s="1" customFormat="1" ht="15.75" x14ac:dyDescent="0.5">
      <c r="A57" s="7">
        <v>5.6</v>
      </c>
      <c r="C57" s="8" t="s">
        <v>6</v>
      </c>
    </row>
    <row r="58" spans="1:13" s="1" customFormat="1" ht="15.75" x14ac:dyDescent="0.5">
      <c r="A58" s="7">
        <v>4.21</v>
      </c>
      <c r="C58" s="8" t="s">
        <v>7</v>
      </c>
      <c r="D58" s="10">
        <v>4.12</v>
      </c>
      <c r="E58" s="1" t="s">
        <v>28</v>
      </c>
    </row>
    <row r="59" spans="1:13" s="1" customFormat="1" ht="15.75" x14ac:dyDescent="0.5">
      <c r="A59" s="7">
        <v>4.6900000000000004</v>
      </c>
      <c r="C59" s="8" t="s">
        <v>8</v>
      </c>
      <c r="D59" s="10">
        <v>0.33013613052413299</v>
      </c>
      <c r="E59" s="7" t="s">
        <v>10</v>
      </c>
      <c r="F59" s="30">
        <f>$D$79-$D$78</f>
        <v>1.9600000000000009</v>
      </c>
    </row>
    <row r="60" spans="1:13" s="1" customFormat="1" ht="15.75" x14ac:dyDescent="0.5">
      <c r="A60" s="7">
        <v>5.7</v>
      </c>
      <c r="C60" s="8" t="s">
        <v>9</v>
      </c>
      <c r="D60" s="1">
        <v>4.9649999999999999</v>
      </c>
      <c r="E60" s="1" t="s">
        <v>27</v>
      </c>
    </row>
    <row r="61" spans="1:13" s="1" customFormat="1" x14ac:dyDescent="0.45">
      <c r="A61" s="7">
        <v>5.44</v>
      </c>
    </row>
    <row r="62" spans="1:13" s="1" customFormat="1" x14ac:dyDescent="0.45">
      <c r="A62" s="7">
        <v>5.58</v>
      </c>
    </row>
    <row r="63" spans="1:13" s="1" customFormat="1" x14ac:dyDescent="0.45">
      <c r="A63" s="7">
        <v>5.95</v>
      </c>
    </row>
    <row r="64" spans="1:13" s="1" customFormat="1" x14ac:dyDescent="0.45">
      <c r="A64" s="7">
        <v>5.98</v>
      </c>
    </row>
    <row r="65" spans="1:4" s="1" customFormat="1" x14ac:dyDescent="0.45">
      <c r="A65" s="7">
        <v>5.0199999999999996</v>
      </c>
    </row>
    <row r="66" spans="1:4" s="1" customFormat="1" ht="14.65" thickBot="1" x14ac:dyDescent="0.5">
      <c r="A66" s="7">
        <v>5.16</v>
      </c>
    </row>
    <row r="67" spans="1:4" s="1" customFormat="1" x14ac:dyDescent="0.45">
      <c r="A67" s="7">
        <v>4.83</v>
      </c>
      <c r="C67" s="28" t="s">
        <v>13</v>
      </c>
      <c r="D67" s="28"/>
    </row>
    <row r="68" spans="1:4" s="1" customFormat="1" x14ac:dyDescent="0.45">
      <c r="A68" s="7">
        <v>5.58</v>
      </c>
      <c r="C68" s="26"/>
      <c r="D68" s="26"/>
    </row>
    <row r="69" spans="1:4" s="1" customFormat="1" x14ac:dyDescent="0.45">
      <c r="A69" s="7">
        <v>4.5599999999999996</v>
      </c>
      <c r="C69" s="26" t="s">
        <v>14</v>
      </c>
      <c r="D69" s="26">
        <v>4.971642857142859</v>
      </c>
    </row>
    <row r="70" spans="1:4" s="1" customFormat="1" x14ac:dyDescent="0.45">
      <c r="A70" s="7">
        <v>4.6900000000000004</v>
      </c>
      <c r="C70" s="26" t="s">
        <v>15</v>
      </c>
      <c r="D70" s="26">
        <v>4.8560428519829994E-2</v>
      </c>
    </row>
    <row r="71" spans="1:4" s="1" customFormat="1" x14ac:dyDescent="0.45">
      <c r="A71" s="7">
        <v>4.1100000000000003</v>
      </c>
      <c r="C71" s="26" t="s">
        <v>16</v>
      </c>
      <c r="D71" s="26">
        <v>4.9649999999999999</v>
      </c>
    </row>
    <row r="72" spans="1:4" s="1" customFormat="1" x14ac:dyDescent="0.45">
      <c r="A72" s="7">
        <v>4.91</v>
      </c>
      <c r="C72" s="26" t="s">
        <v>17</v>
      </c>
      <c r="D72" s="26">
        <v>4.12</v>
      </c>
    </row>
    <row r="73" spans="1:4" s="1" customFormat="1" x14ac:dyDescent="0.45">
      <c r="A73" s="7">
        <v>5.12</v>
      </c>
      <c r="C73" s="26" t="s">
        <v>18</v>
      </c>
      <c r="D73" s="26">
        <v>0.5745747388496405</v>
      </c>
    </row>
    <row r="74" spans="1:4" s="1" customFormat="1" x14ac:dyDescent="0.45">
      <c r="A74" s="7">
        <v>4.2</v>
      </c>
      <c r="C74" s="26" t="s">
        <v>19</v>
      </c>
      <c r="D74" s="26">
        <v>0.33013613052413299</v>
      </c>
    </row>
    <row r="75" spans="1:4" s="1" customFormat="1" x14ac:dyDescent="0.45">
      <c r="A75" s="7">
        <v>5.08</v>
      </c>
      <c r="C75" s="26" t="s">
        <v>20</v>
      </c>
      <c r="D75" s="26">
        <v>-1.2216402928732226</v>
      </c>
    </row>
    <row r="76" spans="1:4" s="1" customFormat="1" x14ac:dyDescent="0.45">
      <c r="A76" s="7">
        <v>5.63</v>
      </c>
      <c r="C76" s="26" t="s">
        <v>21</v>
      </c>
      <c r="D76" s="26">
        <v>-4.2933716811072343E-4</v>
      </c>
    </row>
    <row r="77" spans="1:4" s="1" customFormat="1" x14ac:dyDescent="0.45">
      <c r="A77" s="7">
        <v>5.49</v>
      </c>
      <c r="C77" s="26" t="s">
        <v>22</v>
      </c>
      <c r="D77" s="26">
        <v>1.9600000000000009</v>
      </c>
    </row>
    <row r="78" spans="1:4" s="1" customFormat="1" x14ac:dyDescent="0.45">
      <c r="A78" s="7">
        <v>4.79</v>
      </c>
      <c r="C78" s="26" t="s">
        <v>23</v>
      </c>
      <c r="D78" s="26">
        <v>4.0199999999999996</v>
      </c>
    </row>
    <row r="79" spans="1:4" s="1" customFormat="1" x14ac:dyDescent="0.45">
      <c r="A79" s="7">
        <v>4.76</v>
      </c>
      <c r="C79" s="26" t="s">
        <v>24</v>
      </c>
      <c r="D79" s="26">
        <v>5.98</v>
      </c>
    </row>
    <row r="80" spans="1:4" s="1" customFormat="1" x14ac:dyDescent="0.45">
      <c r="A80" s="7">
        <v>4.3099999999999996</v>
      </c>
      <c r="C80" s="26" t="s">
        <v>25</v>
      </c>
      <c r="D80" s="26">
        <v>696.03000000000031</v>
      </c>
    </row>
    <row r="81" spans="1:4" s="1" customFormat="1" ht="14.65" thickBot="1" x14ac:dyDescent="0.5">
      <c r="A81" s="7">
        <v>5.1100000000000003</v>
      </c>
      <c r="C81" s="27" t="s">
        <v>26</v>
      </c>
      <c r="D81" s="27">
        <v>140</v>
      </c>
    </row>
    <row r="82" spans="1:4" s="1" customFormat="1" x14ac:dyDescent="0.45">
      <c r="A82" s="7">
        <v>5.96</v>
      </c>
    </row>
    <row r="83" spans="1:4" s="1" customFormat="1" x14ac:dyDescent="0.45">
      <c r="A83" s="7">
        <v>4.6100000000000003</v>
      </c>
    </row>
    <row r="84" spans="1:4" s="1" customFormat="1" x14ac:dyDescent="0.45">
      <c r="A84" s="7">
        <v>4.12</v>
      </c>
    </row>
    <row r="85" spans="1:4" s="1" customFormat="1" x14ac:dyDescent="0.45">
      <c r="A85" s="7">
        <v>4.87</v>
      </c>
    </row>
    <row r="86" spans="1:4" s="1" customFormat="1" x14ac:dyDescent="0.45">
      <c r="A86" s="7">
        <v>5.13</v>
      </c>
    </row>
    <row r="87" spans="1:4" s="1" customFormat="1" x14ac:dyDescent="0.45">
      <c r="A87" s="7">
        <v>5.22</v>
      </c>
    </row>
    <row r="88" spans="1:4" s="1" customFormat="1" x14ac:dyDescent="0.45">
      <c r="A88" s="7">
        <v>5.31</v>
      </c>
    </row>
    <row r="89" spans="1:4" s="1" customFormat="1" x14ac:dyDescent="0.45">
      <c r="A89" s="7">
        <v>4.21</v>
      </c>
    </row>
    <row r="90" spans="1:4" s="1" customFormat="1" x14ac:dyDescent="0.45">
      <c r="A90" s="7">
        <v>5.18</v>
      </c>
    </row>
    <row r="91" spans="1:4" s="1" customFormat="1" x14ac:dyDescent="0.45">
      <c r="A91" s="7">
        <v>5.67</v>
      </c>
    </row>
    <row r="92" spans="1:4" s="1" customFormat="1" x14ac:dyDescent="0.45">
      <c r="A92" s="7">
        <v>5.51</v>
      </c>
    </row>
    <row r="93" spans="1:4" s="1" customFormat="1" x14ac:dyDescent="0.45">
      <c r="A93" s="7">
        <v>4.32</v>
      </c>
    </row>
    <row r="94" spans="1:4" s="1" customFormat="1" x14ac:dyDescent="0.45">
      <c r="A94" s="7">
        <v>4.29</v>
      </c>
    </row>
    <row r="95" spans="1:4" s="1" customFormat="1" x14ac:dyDescent="0.45">
      <c r="A95" s="7">
        <v>5.14</v>
      </c>
    </row>
    <row r="96" spans="1:4" s="1" customFormat="1" x14ac:dyDescent="0.45">
      <c r="A96" s="7">
        <v>5.64</v>
      </c>
    </row>
    <row r="97" spans="1:1" s="1" customFormat="1" x14ac:dyDescent="0.45">
      <c r="A97" s="7">
        <v>4.2699999999999996</v>
      </c>
    </row>
    <row r="98" spans="1:1" s="1" customFormat="1" x14ac:dyDescent="0.45">
      <c r="A98" s="7">
        <v>4.47</v>
      </c>
    </row>
    <row r="99" spans="1:1" s="1" customFormat="1" x14ac:dyDescent="0.45">
      <c r="A99" s="7">
        <v>4.49</v>
      </c>
    </row>
    <row r="100" spans="1:1" s="1" customFormat="1" x14ac:dyDescent="0.45">
      <c r="A100" s="7">
        <v>5.45</v>
      </c>
    </row>
    <row r="101" spans="1:1" s="1" customFormat="1" x14ac:dyDescent="0.45">
      <c r="A101" s="7">
        <v>5.6</v>
      </c>
    </row>
    <row r="102" spans="1:1" s="1" customFormat="1" x14ac:dyDescent="0.45">
      <c r="A102" s="7">
        <v>4.13</v>
      </c>
    </row>
    <row r="103" spans="1:1" s="1" customFormat="1" x14ac:dyDescent="0.45">
      <c r="A103" s="7">
        <v>4.63</v>
      </c>
    </row>
    <row r="104" spans="1:1" s="1" customFormat="1" x14ac:dyDescent="0.45">
      <c r="A104" s="7">
        <v>5.55</v>
      </c>
    </row>
    <row r="105" spans="1:1" s="1" customFormat="1" x14ac:dyDescent="0.45">
      <c r="A105" s="7">
        <v>4.12</v>
      </c>
    </row>
    <row r="106" spans="1:1" s="1" customFormat="1" x14ac:dyDescent="0.45">
      <c r="A106" s="7">
        <v>4.9000000000000004</v>
      </c>
    </row>
    <row r="107" spans="1:1" s="1" customFormat="1" x14ac:dyDescent="0.45">
      <c r="A107" s="7">
        <v>4.67</v>
      </c>
    </row>
    <row r="108" spans="1:1" s="1" customFormat="1" x14ac:dyDescent="0.45">
      <c r="A108" s="7">
        <v>5.17</v>
      </c>
    </row>
    <row r="109" spans="1:1" s="1" customFormat="1" x14ac:dyDescent="0.45">
      <c r="A109" s="7">
        <v>5.36</v>
      </c>
    </row>
    <row r="110" spans="1:1" s="1" customFormat="1" x14ac:dyDescent="0.45">
      <c r="A110" s="7">
        <v>4.0199999999999996</v>
      </c>
    </row>
    <row r="111" spans="1:1" s="1" customFormat="1" x14ac:dyDescent="0.45">
      <c r="A111" s="7">
        <v>5.88</v>
      </c>
    </row>
    <row r="112" spans="1:1" s="1" customFormat="1" x14ac:dyDescent="0.45">
      <c r="A112" s="7">
        <v>5.26</v>
      </c>
    </row>
    <row r="113" spans="1:1" s="1" customFormat="1" x14ac:dyDescent="0.45">
      <c r="A113" s="7">
        <v>5.7</v>
      </c>
    </row>
    <row r="114" spans="1:1" s="1" customFormat="1" x14ac:dyDescent="0.45">
      <c r="A114" s="7">
        <v>5.13</v>
      </c>
    </row>
    <row r="115" spans="1:1" s="1" customFormat="1" x14ac:dyDescent="0.45">
      <c r="A115" s="7">
        <v>4.29</v>
      </c>
    </row>
    <row r="116" spans="1:1" s="1" customFormat="1" x14ac:dyDescent="0.45">
      <c r="A116" s="7">
        <v>5.68</v>
      </c>
    </row>
    <row r="117" spans="1:1" s="1" customFormat="1" x14ac:dyDescent="0.45">
      <c r="A117" s="7">
        <v>4.97</v>
      </c>
    </row>
    <row r="118" spans="1:1" s="1" customFormat="1" x14ac:dyDescent="0.45">
      <c r="A118" s="7">
        <v>5.94</v>
      </c>
    </row>
    <row r="119" spans="1:1" s="1" customFormat="1" x14ac:dyDescent="0.45">
      <c r="A119" s="7">
        <v>5.05</v>
      </c>
    </row>
    <row r="120" spans="1:1" s="1" customFormat="1" x14ac:dyDescent="0.45">
      <c r="A120" s="7">
        <v>4.4000000000000004</v>
      </c>
    </row>
    <row r="121" spans="1:1" s="1" customFormat="1" x14ac:dyDescent="0.45">
      <c r="A121" s="7">
        <v>5.46</v>
      </c>
    </row>
    <row r="122" spans="1:1" s="1" customFormat="1" x14ac:dyDescent="0.45">
      <c r="A122" s="7">
        <v>5.3</v>
      </c>
    </row>
    <row r="123" spans="1:1" s="1" customFormat="1" x14ac:dyDescent="0.45">
      <c r="A123" s="7">
        <v>5.04</v>
      </c>
    </row>
    <row r="124" spans="1:1" s="1" customFormat="1" x14ac:dyDescent="0.45">
      <c r="A124" s="7">
        <v>5.69</v>
      </c>
    </row>
    <row r="125" spans="1:1" s="1" customFormat="1" x14ac:dyDescent="0.45">
      <c r="A125" s="7">
        <v>4.6500000000000004</v>
      </c>
    </row>
    <row r="126" spans="1:1" s="1" customFormat="1" x14ac:dyDescent="0.45">
      <c r="A126" s="7">
        <v>5.74</v>
      </c>
    </row>
    <row r="127" spans="1:1" s="1" customFormat="1" x14ac:dyDescent="0.45">
      <c r="A127" s="7">
        <v>5.8</v>
      </c>
    </row>
    <row r="128" spans="1:1" s="1" customFormat="1" x14ac:dyDescent="0.45">
      <c r="A128" s="7">
        <v>4.4000000000000004</v>
      </c>
    </row>
    <row r="129" spans="1:1" s="1" customFormat="1" x14ac:dyDescent="0.45">
      <c r="A129" s="7">
        <v>4.34</v>
      </c>
    </row>
    <row r="130" spans="1:1" s="1" customFormat="1" x14ac:dyDescent="0.45">
      <c r="A130" s="7">
        <v>5.37</v>
      </c>
    </row>
    <row r="131" spans="1:1" s="1" customFormat="1" x14ac:dyDescent="0.45">
      <c r="A131" s="7">
        <v>4.12</v>
      </c>
    </row>
    <row r="132" spans="1:1" s="1" customFormat="1" x14ac:dyDescent="0.45">
      <c r="A132" s="7">
        <v>5.74</v>
      </c>
    </row>
    <row r="133" spans="1:1" s="1" customFormat="1" x14ac:dyDescent="0.45">
      <c r="A133" s="7">
        <v>4.1500000000000004</v>
      </c>
    </row>
    <row r="134" spans="1:1" s="1" customFormat="1" x14ac:dyDescent="0.45">
      <c r="A134" s="7">
        <v>4.7699999999999996</v>
      </c>
    </row>
    <row r="135" spans="1:1" s="1" customFormat="1" x14ac:dyDescent="0.45">
      <c r="A135" s="7">
        <v>4.79</v>
      </c>
    </row>
    <row r="136" spans="1:1" s="1" customFormat="1" x14ac:dyDescent="0.45">
      <c r="A136" s="7">
        <v>4.54</v>
      </c>
    </row>
    <row r="137" spans="1:1" s="1" customFormat="1" x14ac:dyDescent="0.45">
      <c r="A137" s="7">
        <v>5.5</v>
      </c>
    </row>
    <row r="138" spans="1:1" s="1" customFormat="1" x14ac:dyDescent="0.45">
      <c r="A138" s="7">
        <v>4.54</v>
      </c>
    </row>
    <row r="139" spans="1:1" s="1" customFormat="1" x14ac:dyDescent="0.45">
      <c r="A139" s="7">
        <v>4.8099999999999996</v>
      </c>
    </row>
    <row r="140" spans="1:1" s="1" customFormat="1" x14ac:dyDescent="0.45">
      <c r="A140" s="7">
        <v>5.48</v>
      </c>
    </row>
    <row r="141" spans="1:1" s="1" customFormat="1" x14ac:dyDescent="0.45">
      <c r="A141" s="7">
        <v>4.8899999999999997</v>
      </c>
    </row>
    <row r="142" spans="1:1" s="1" customFormat="1" x14ac:dyDescent="0.45">
      <c r="A142" s="7">
        <v>4.7300000000000004</v>
      </c>
    </row>
    <row r="143" spans="1:1" s="1" customFormat="1" x14ac:dyDescent="0.45">
      <c r="A143" s="7">
        <v>4.0199999999999996</v>
      </c>
    </row>
    <row r="144" spans="1:1" s="1" customFormat="1" x14ac:dyDescent="0.45">
      <c r="A144" s="7">
        <v>4.12</v>
      </c>
    </row>
    <row r="145" spans="1:1" s="1" customFormat="1" x14ac:dyDescent="0.45">
      <c r="A145" s="7">
        <v>4.87</v>
      </c>
    </row>
    <row r="146" spans="1:1" s="1" customFormat="1" x14ac:dyDescent="0.45">
      <c r="A146" s="7">
        <v>4.8099999999999996</v>
      </c>
    </row>
    <row r="147" spans="1:1" s="1" customFormat="1" x14ac:dyDescent="0.45">
      <c r="A147" s="7">
        <v>4.96</v>
      </c>
    </row>
    <row r="148" spans="1:1" s="1" customFormat="1" x14ac:dyDescent="0.45">
      <c r="A148" s="7">
        <v>4.6100000000000003</v>
      </c>
    </row>
    <row r="149" spans="1:1" s="1" customFormat="1" x14ac:dyDescent="0.45">
      <c r="A149" s="7">
        <v>4.78</v>
      </c>
    </row>
    <row r="150" spans="1:1" s="1" customFormat="1" x14ac:dyDescent="0.45">
      <c r="A150" s="7">
        <v>5.13</v>
      </c>
    </row>
    <row r="151" spans="1:1" s="1" customFormat="1" x14ac:dyDescent="0.45">
      <c r="A151" s="7">
        <v>4.87</v>
      </c>
    </row>
    <row r="152" spans="1:1" s="1" customFormat="1" x14ac:dyDescent="0.45">
      <c r="A152" s="7">
        <v>5.48</v>
      </c>
    </row>
    <row r="153" spans="1:1" s="1" customFormat="1" x14ac:dyDescent="0.45">
      <c r="A153" s="7">
        <v>4.25</v>
      </c>
    </row>
    <row r="154" spans="1:1" s="1" customFormat="1" x14ac:dyDescent="0.45">
      <c r="A154" s="7">
        <v>4.32</v>
      </c>
    </row>
    <row r="155" spans="1:1" s="1" customFormat="1" x14ac:dyDescent="0.45">
      <c r="A155" s="7">
        <v>5.33</v>
      </c>
    </row>
    <row r="156" spans="1:1" s="1" customFormat="1" x14ac:dyDescent="0.45">
      <c r="A156" s="7">
        <v>4.21</v>
      </c>
    </row>
    <row r="157" spans="1:1" s="1" customFormat="1" x14ac:dyDescent="0.45">
      <c r="A157" s="7">
        <v>5.41</v>
      </c>
    </row>
    <row r="158" spans="1:1" s="1" customFormat="1" x14ac:dyDescent="0.45">
      <c r="A158" s="7">
        <v>4.12</v>
      </c>
    </row>
    <row r="159" spans="1:1" s="1" customFormat="1" x14ac:dyDescent="0.45">
      <c r="A159" s="7">
        <v>4.3</v>
      </c>
    </row>
    <row r="160" spans="1:1" s="1" customFormat="1" x14ac:dyDescent="0.45">
      <c r="A160" s="7">
        <v>4.1100000000000003</v>
      </c>
    </row>
    <row r="161" spans="1:1" s="1" customFormat="1" x14ac:dyDescent="0.45">
      <c r="A161" s="7">
        <v>4.1399999999999997</v>
      </c>
    </row>
    <row r="162" spans="1:1" s="1" customFormat="1" x14ac:dyDescent="0.45">
      <c r="A162" s="7">
        <v>4.3099999999999996</v>
      </c>
    </row>
    <row r="163" spans="1:1" s="1" customFormat="1" x14ac:dyDescent="0.45">
      <c r="A163" s="7">
        <v>5.58</v>
      </c>
    </row>
    <row r="164" spans="1:1" s="1" customFormat="1" x14ac:dyDescent="0.45">
      <c r="A164" s="7">
        <v>4.6900000000000004</v>
      </c>
    </row>
    <row r="165" spans="1:1" s="1" customFormat="1" x14ac:dyDescent="0.45">
      <c r="A165" s="7">
        <v>4.84</v>
      </c>
    </row>
    <row r="166" spans="1:1" s="1" customFormat="1" x14ac:dyDescent="0.45">
      <c r="A166" s="7">
        <v>5.84</v>
      </c>
    </row>
    <row r="167" spans="1:1" s="1" customFormat="1" x14ac:dyDescent="0.45">
      <c r="A167" s="7">
        <v>5.76</v>
      </c>
    </row>
    <row r="168" spans="1:1" s="1" customFormat="1" x14ac:dyDescent="0.45">
      <c r="A168" s="7">
        <v>5.44</v>
      </c>
    </row>
    <row r="169" spans="1:1" s="1" customFormat="1" x14ac:dyDescent="0.45">
      <c r="A169" s="7">
        <v>4.04</v>
      </c>
    </row>
    <row r="170" spans="1:1" s="1" customFormat="1" x14ac:dyDescent="0.45">
      <c r="A170" s="7">
        <v>5.22</v>
      </c>
    </row>
    <row r="171" spans="1:1" s="1" customFormat="1" x14ac:dyDescent="0.45">
      <c r="A171" s="7">
        <v>4.0599999999999996</v>
      </c>
    </row>
    <row r="172" spans="1:1" s="1" customFormat="1" x14ac:dyDescent="0.45">
      <c r="A172" s="7">
        <v>5.07</v>
      </c>
    </row>
    <row r="173" spans="1:1" s="1" customFormat="1" x14ac:dyDescent="0.45">
      <c r="A173" s="7">
        <v>4.08</v>
      </c>
    </row>
    <row r="174" spans="1:1" s="1" customFormat="1" x14ac:dyDescent="0.45">
      <c r="A174" s="7">
        <v>5.81</v>
      </c>
    </row>
    <row r="175" spans="1:1" s="1" customFormat="1" x14ac:dyDescent="0.45">
      <c r="A175" s="7">
        <v>4.7300000000000004</v>
      </c>
    </row>
    <row r="176" spans="1:1" s="1" customFormat="1" x14ac:dyDescent="0.45">
      <c r="A176" s="7">
        <v>5.64</v>
      </c>
    </row>
    <row r="177" spans="1:1" s="1" customFormat="1" x14ac:dyDescent="0.45">
      <c r="A177" s="7">
        <v>5.32</v>
      </c>
    </row>
    <row r="178" spans="1:1" s="1" customFormat="1" x14ac:dyDescent="0.45">
      <c r="A178" s="7">
        <v>4.97</v>
      </c>
    </row>
    <row r="179" spans="1:1" s="1" customFormat="1" x14ac:dyDescent="0.45">
      <c r="A179" s="7">
        <v>4.5199999999999996</v>
      </c>
    </row>
    <row r="180" spans="1:1" s="1" customFormat="1" x14ac:dyDescent="0.45">
      <c r="A180" s="7">
        <v>4.4400000000000004</v>
      </c>
    </row>
    <row r="181" spans="1:1" s="1" customFormat="1" x14ac:dyDescent="0.45">
      <c r="A181" s="7">
        <v>5.87</v>
      </c>
    </row>
    <row r="182" spans="1:1" s="1" customFormat="1" x14ac:dyDescent="0.45">
      <c r="A182" s="7">
        <v>4.41</v>
      </c>
    </row>
    <row r="183" spans="1:1" s="1" customFormat="1" x14ac:dyDescent="0.45"/>
    <row r="184" spans="1:1" s="1" customFormat="1" x14ac:dyDescent="0.45"/>
    <row r="185" spans="1:1" s="1" customFormat="1" x14ac:dyDescent="0.45"/>
    <row r="186" spans="1:1" s="1" customFormat="1" x14ac:dyDescent="0.45"/>
    <row r="187" spans="1:1" s="1" customFormat="1" x14ac:dyDescent="0.45"/>
    <row r="188" spans="1:1" s="1" customFormat="1" x14ac:dyDescent="0.45"/>
    <row r="189" spans="1:1" s="1" customFormat="1" x14ac:dyDescent="0.45"/>
    <row r="190" spans="1:1" s="1" customFormat="1" x14ac:dyDescent="0.45"/>
    <row r="191" spans="1:1" s="1" customFormat="1" x14ac:dyDescent="0.45"/>
    <row r="192" spans="1:1" s="1" customFormat="1" x14ac:dyDescent="0.45"/>
    <row r="193" s="1" customFormat="1" x14ac:dyDescent="0.45"/>
    <row r="194" s="1" customFormat="1" x14ac:dyDescent="0.45"/>
    <row r="195" s="1" customFormat="1" x14ac:dyDescent="0.45"/>
    <row r="196" s="1" customFormat="1" x14ac:dyDescent="0.45"/>
    <row r="197" s="1" customFormat="1" x14ac:dyDescent="0.45"/>
    <row r="198" s="1" customFormat="1" x14ac:dyDescent="0.45"/>
    <row r="199" s="1" customFormat="1" x14ac:dyDescent="0.45"/>
    <row r="200" s="1" customFormat="1" x14ac:dyDescent="0.45"/>
    <row r="201" s="1" customFormat="1" x14ac:dyDescent="0.45"/>
    <row r="202" s="1" customFormat="1" x14ac:dyDescent="0.45"/>
    <row r="203" s="1" customFormat="1" x14ac:dyDescent="0.45"/>
    <row r="204" s="1" customFormat="1" x14ac:dyDescent="0.45"/>
    <row r="205" s="1" customFormat="1" x14ac:dyDescent="0.45"/>
    <row r="206" s="1" customFormat="1" x14ac:dyDescent="0.45"/>
    <row r="207" s="1" customFormat="1" x14ac:dyDescent="0.45"/>
    <row r="208" s="1" customFormat="1" x14ac:dyDescent="0.45"/>
    <row r="209" s="1" customFormat="1" x14ac:dyDescent="0.45"/>
    <row r="210" s="1" customFormat="1" x14ac:dyDescent="0.45"/>
    <row r="211" s="1" customFormat="1" x14ac:dyDescent="0.45"/>
    <row r="212" s="1" customFormat="1" x14ac:dyDescent="0.45"/>
    <row r="213" s="1" customFormat="1" x14ac:dyDescent="0.45"/>
    <row r="214" s="1" customFormat="1" x14ac:dyDescent="0.45"/>
    <row r="215" s="1" customFormat="1" x14ac:dyDescent="0.45"/>
    <row r="216" s="1" customFormat="1" x14ac:dyDescent="0.45"/>
    <row r="217" s="1" customFormat="1" x14ac:dyDescent="0.45"/>
    <row r="218" s="1" customFormat="1" x14ac:dyDescent="0.45"/>
    <row r="219" s="1" customFormat="1" x14ac:dyDescent="0.45"/>
    <row r="220" s="1" customFormat="1" x14ac:dyDescent="0.45"/>
    <row r="221" s="1" customFormat="1" x14ac:dyDescent="0.45"/>
    <row r="222" s="1" customFormat="1" x14ac:dyDescent="0.45"/>
    <row r="223" s="1" customFormat="1" x14ac:dyDescent="0.45"/>
    <row r="224" s="1" customFormat="1" x14ac:dyDescent="0.45"/>
    <row r="225" s="1" customFormat="1" x14ac:dyDescent="0.45"/>
    <row r="226" s="1" customFormat="1" x14ac:dyDescent="0.45"/>
    <row r="227" s="1" customFormat="1" x14ac:dyDescent="0.45"/>
    <row r="228" s="1" customFormat="1" x14ac:dyDescent="0.45"/>
    <row r="229" s="1" customFormat="1" x14ac:dyDescent="0.45"/>
    <row r="230" s="1" customFormat="1" x14ac:dyDescent="0.45"/>
    <row r="231" s="1" customFormat="1" x14ac:dyDescent="0.45"/>
    <row r="232" s="1" customFormat="1" x14ac:dyDescent="0.45"/>
    <row r="233" s="1" customFormat="1" x14ac:dyDescent="0.45"/>
    <row r="234" s="1" customFormat="1" x14ac:dyDescent="0.45"/>
    <row r="235" s="1" customFormat="1" x14ac:dyDescent="0.45"/>
    <row r="236" s="1" customFormat="1" x14ac:dyDescent="0.45"/>
    <row r="237" s="1" customFormat="1" x14ac:dyDescent="0.45"/>
    <row r="238" s="1" customFormat="1" x14ac:dyDescent="0.45"/>
    <row r="239" s="1" customFormat="1" x14ac:dyDescent="0.45"/>
    <row r="240" s="1" customFormat="1" x14ac:dyDescent="0.45"/>
    <row r="241" s="1" customFormat="1" x14ac:dyDescent="0.45"/>
    <row r="242" s="1" customFormat="1" x14ac:dyDescent="0.45"/>
    <row r="243" s="1" customFormat="1" x14ac:dyDescent="0.45"/>
    <row r="244" s="1" customFormat="1" x14ac:dyDescent="0.45"/>
    <row r="245" s="1" customFormat="1" x14ac:dyDescent="0.45"/>
    <row r="246" s="1" customFormat="1" x14ac:dyDescent="0.45"/>
    <row r="247" s="1" customFormat="1" x14ac:dyDescent="0.45"/>
    <row r="248" s="1" customFormat="1" x14ac:dyDescent="0.45"/>
    <row r="249" s="1" customFormat="1" x14ac:dyDescent="0.45"/>
    <row r="250" s="1" customFormat="1" x14ac:dyDescent="0.45"/>
    <row r="251" s="1" customFormat="1" x14ac:dyDescent="0.45"/>
    <row r="252" s="1" customFormat="1" x14ac:dyDescent="0.45"/>
    <row r="253" s="1" customFormat="1" x14ac:dyDescent="0.45"/>
    <row r="254" s="1" customFormat="1" x14ac:dyDescent="0.45"/>
    <row r="255" s="1" customFormat="1" x14ac:dyDescent="0.45"/>
    <row r="256" s="1" customFormat="1" x14ac:dyDescent="0.45"/>
    <row r="257" s="1" customFormat="1" x14ac:dyDescent="0.45"/>
    <row r="258" s="1" customFormat="1" x14ac:dyDescent="0.45"/>
    <row r="259" s="1" customFormat="1" x14ac:dyDescent="0.45"/>
    <row r="260" s="1" customFormat="1" x14ac:dyDescent="0.45"/>
    <row r="261" s="1" customFormat="1" x14ac:dyDescent="0.45"/>
    <row r="262" s="1" customFormat="1" x14ac:dyDescent="0.45"/>
    <row r="263" s="1" customFormat="1" x14ac:dyDescent="0.45"/>
    <row r="264" s="1" customFormat="1" x14ac:dyDescent="0.45"/>
    <row r="265" s="1" customFormat="1" x14ac:dyDescent="0.45"/>
    <row r="266" s="1" customFormat="1" x14ac:dyDescent="0.45"/>
    <row r="267" s="1" customFormat="1" x14ac:dyDescent="0.45"/>
    <row r="268" s="1" customFormat="1" x14ac:dyDescent="0.45"/>
    <row r="269" s="1" customFormat="1" x14ac:dyDescent="0.45"/>
    <row r="270" s="1" customFormat="1" x14ac:dyDescent="0.45"/>
    <row r="271" s="1" customFormat="1" x14ac:dyDescent="0.45"/>
    <row r="272" s="1" customFormat="1" x14ac:dyDescent="0.45"/>
    <row r="273" s="1" customFormat="1" x14ac:dyDescent="0.45"/>
    <row r="274" s="1" customFormat="1" x14ac:dyDescent="0.45"/>
    <row r="275" s="1" customFormat="1" x14ac:dyDescent="0.45"/>
    <row r="276" s="1" customFormat="1" x14ac:dyDescent="0.45"/>
    <row r="277" s="1" customFormat="1" x14ac:dyDescent="0.45"/>
    <row r="278" s="1" customFormat="1" x14ac:dyDescent="0.45"/>
    <row r="279" s="1" customFormat="1" x14ac:dyDescent="0.45"/>
    <row r="280" s="1" customFormat="1" x14ac:dyDescent="0.45"/>
    <row r="281" s="1" customFormat="1" x14ac:dyDescent="0.45"/>
    <row r="282" s="1" customFormat="1" x14ac:dyDescent="0.45"/>
    <row r="283" s="1" customFormat="1" x14ac:dyDescent="0.45"/>
    <row r="284" s="1" customFormat="1" x14ac:dyDescent="0.45"/>
    <row r="285" s="1" customFormat="1" x14ac:dyDescent="0.45"/>
    <row r="286" s="1" customFormat="1" x14ac:dyDescent="0.45"/>
    <row r="287" s="1" customFormat="1" x14ac:dyDescent="0.45"/>
    <row r="288" s="1" customFormat="1" x14ac:dyDescent="0.45"/>
    <row r="289" s="1" customFormat="1" x14ac:dyDescent="0.45"/>
    <row r="290" s="1" customFormat="1" x14ac:dyDescent="0.45"/>
    <row r="291" s="1" customFormat="1" x14ac:dyDescent="0.45"/>
    <row r="292" s="1" customFormat="1" x14ac:dyDescent="0.45"/>
    <row r="293" s="1" customFormat="1" x14ac:dyDescent="0.45"/>
    <row r="294" s="1" customFormat="1" x14ac:dyDescent="0.45"/>
    <row r="295" s="1" customFormat="1" x14ac:dyDescent="0.45"/>
    <row r="296" s="1" customFormat="1" x14ac:dyDescent="0.45"/>
    <row r="297" s="1" customFormat="1" x14ac:dyDescent="0.45"/>
    <row r="298" s="1" customFormat="1" x14ac:dyDescent="0.45"/>
    <row r="299" s="1" customFormat="1" x14ac:dyDescent="0.45"/>
    <row r="300" s="1" customFormat="1" x14ac:dyDescent="0.45"/>
    <row r="301" s="1" customFormat="1" x14ac:dyDescent="0.45"/>
    <row r="302" s="1" customFormat="1" x14ac:dyDescent="0.45"/>
    <row r="303" s="1" customFormat="1" x14ac:dyDescent="0.45"/>
    <row r="304" s="1" customFormat="1" x14ac:dyDescent="0.45"/>
    <row r="305" s="1" customFormat="1" x14ac:dyDescent="0.45"/>
    <row r="306" s="1" customFormat="1" x14ac:dyDescent="0.45"/>
    <row r="307" s="1" customFormat="1" x14ac:dyDescent="0.45"/>
    <row r="308" s="1" customFormat="1" x14ac:dyDescent="0.45"/>
    <row r="309" s="1" customFormat="1" x14ac:dyDescent="0.45"/>
    <row r="310" s="1" customFormat="1" x14ac:dyDescent="0.45"/>
  </sheetData>
  <sheetProtection selectLockedCells="1"/>
  <mergeCells count="4">
    <mergeCell ref="A40:XFD40"/>
    <mergeCell ref="D43:F43"/>
    <mergeCell ref="C17:J17"/>
    <mergeCell ref="M17:N1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Teste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Grilo</dc:creator>
  <cp:lastModifiedBy>Inês Santos</cp:lastModifiedBy>
  <cp:lastPrinted>2024-01-11T11:07:26Z</cp:lastPrinted>
  <dcterms:created xsi:type="dcterms:W3CDTF">2024-01-11T08:54:21Z</dcterms:created>
  <dcterms:modified xsi:type="dcterms:W3CDTF">2026-01-08T19:28:19Z</dcterms:modified>
</cp:coreProperties>
</file>