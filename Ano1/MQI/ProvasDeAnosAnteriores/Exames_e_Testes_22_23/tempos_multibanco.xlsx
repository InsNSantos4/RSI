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A\Tecnicos\RSI\Ano1\MQI_Metodos_Quantitativos_para_a_Informatica\ProvasDeAnosAnteriores\Exames_e_Testes_22_23\"/>
    </mc:Choice>
  </mc:AlternateContent>
  <xr:revisionPtr revIDLastSave="0" documentId="13_ncr:1_{2EAFD023-461A-4C8B-AAB9-93C2F87B32D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8" i="1" s="1"/>
  <c r="K19" i="1" s="1"/>
  <c r="K20" i="1" s="1"/>
  <c r="K21" i="1" s="1"/>
  <c r="K16" i="1"/>
  <c r="K15" i="1"/>
  <c r="J17" i="1"/>
  <c r="J18" i="1" s="1"/>
  <c r="J19" i="1" s="1"/>
  <c r="J20" i="1" s="1"/>
  <c r="J21" i="1" s="1"/>
  <c r="J16" i="1"/>
  <c r="J15" i="1"/>
  <c r="I22" i="1"/>
  <c r="H22" i="1"/>
  <c r="I16" i="1"/>
  <c r="I17" i="1"/>
  <c r="I18" i="1"/>
  <c r="I19" i="1"/>
  <c r="I20" i="1"/>
  <c r="I21" i="1"/>
  <c r="I15" i="1"/>
  <c r="H15" i="1" a="1"/>
  <c r="H15" i="1" s="1"/>
  <c r="H16" i="1"/>
  <c r="G16" i="1"/>
  <c r="G17" i="1"/>
  <c r="G18" i="1"/>
  <c r="G19" i="1"/>
  <c r="G20" i="1"/>
  <c r="G21" i="1"/>
  <c r="G15" i="1"/>
  <c r="D16" i="1"/>
  <c r="D17" i="1"/>
  <c r="D18" i="1" s="1"/>
  <c r="D19" i="1" s="1"/>
  <c r="D20" i="1" s="1"/>
  <c r="D21" i="1" s="1"/>
  <c r="D15" i="1"/>
  <c r="F10" i="1"/>
  <c r="F9" i="1"/>
  <c r="E8" i="1"/>
  <c r="E7" i="1"/>
  <c r="E6" i="1"/>
  <c r="E5" i="1"/>
  <c r="H21" i="1" l="1"/>
  <c r="H20" i="1"/>
  <c r="H19" i="1"/>
  <c r="H18" i="1"/>
  <c r="H17" i="1"/>
</calcChain>
</file>

<file path=xl/sharedStrings.xml><?xml version="1.0" encoding="utf-8"?>
<sst xmlns="http://schemas.openxmlformats.org/spreadsheetml/2006/main" count="40" uniqueCount="40">
  <si>
    <t>tempo (minutos)</t>
  </si>
  <si>
    <t>Variável: tempo entre duas chegadas consecutivas de pessoas a uma caixa de multibanco</t>
  </si>
  <si>
    <t>Variável quantitativa contínua.</t>
  </si>
  <si>
    <t>7.</t>
  </si>
  <si>
    <t>a)</t>
  </si>
  <si>
    <t>Dimensão:</t>
  </si>
  <si>
    <t>Mínimo:</t>
  </si>
  <si>
    <t>Máximo:</t>
  </si>
  <si>
    <t>Amplitude:</t>
  </si>
  <si>
    <t>Número de classes:</t>
  </si>
  <si>
    <t>Amplitude das classes:</t>
  </si>
  <si>
    <t>Regra de Sturges:</t>
  </si>
  <si>
    <t>(vou usar 1,12)</t>
  </si>
  <si>
    <t>Limites das Classes:</t>
  </si>
  <si>
    <t>Classes</t>
  </si>
  <si>
    <t>TABELA DE FREQUÊNCIAS</t>
  </si>
  <si>
    <t>ni</t>
  </si>
  <si>
    <t>fi</t>
  </si>
  <si>
    <t>Ni</t>
  </si>
  <si>
    <t>Fi</t>
  </si>
  <si>
    <t>Total</t>
  </si>
  <si>
    <t>b) Histograma usando as frequências absolutas:</t>
  </si>
  <si>
    <t>c)</t>
  </si>
  <si>
    <t>Coluna1</t>
  </si>
  <si>
    <t>Média</t>
  </si>
  <si>
    <t>Erro-padrão</t>
  </si>
  <si>
    <t>Mediana</t>
  </si>
  <si>
    <t>Moda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</si>
  <si>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</si>
  <si>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</si>
  <si>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</si>
  <si>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</si>
  <si>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</si>
  <si>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</si>
  <si>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</si>
  <si>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</si>
  <si>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</si>
  <si>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i. O tempo mais frequente entre duas chegadas consecutivas é 2,71, sendo o tempo médio de 3,018.</t>
  </si>
  <si>
    <t>ii. A amplitude dos valores da amostra é 7,83 e a variância é 3,849.</t>
  </si>
  <si>
    <t>iii. A percentagem de tempos entre duas chegadas consecutivas que são inferiores a 2,705 minutos é de 50%.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</si>
</sst>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2" fillId="0" borderId="0" xfId="0" applyFont="1"/>
    <xf numFmtId="9" fontId="0" fillId="0" borderId="0" xfId="1" applyNumberFormat="1" applyFont="1"/>
    <xf numFmtId="9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 Tempo</a:t>
            </a:r>
            <a:r>
              <a:rPr lang="pt-PT" baseline="0"/>
              <a:t> (min)</a:t>
            </a:r>
            <a:r>
              <a:rPr lang="pt-PT"/>
              <a:t> entre duas chegadas consecutivas de pessoas a uma caixa de multibanco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Folha1!$G$15:$G$21</c:f>
              <c:strCache>
                <c:ptCount val="7"/>
                <c:pt idx="0">
                  <c:v>]0,15;1,27]</c:v>
                </c:pt>
                <c:pt idx="1">
                  <c:v>]1,27;2,39]</c:v>
                </c:pt>
                <c:pt idx="2">
                  <c:v>]2,39;3,51]</c:v>
                </c:pt>
                <c:pt idx="3">
                  <c:v>]3,51;4,63]</c:v>
                </c:pt>
                <c:pt idx="4">
                  <c:v>]4,63;5,75]</c:v>
                </c:pt>
                <c:pt idx="5">
                  <c:v>]5,75;6,87]</c:v>
                </c:pt>
                <c:pt idx="6">
                  <c:v>]6,87;7,99]</c:v>
                </c:pt>
              </c:strCache>
            </c:strRef>
          </c:cat>
          <c:val>
            <c:numRef>
              <c:f>Folha1!$H$15:$H$21</c:f>
              <c:numCache>
                <c:formatCode>General</c:formatCode>
                <c:ptCount val="7"/>
                <c:pt idx="0">
                  <c:v>20</c:v>
                </c:pt>
                <c:pt idx="1">
                  <c:v>25</c:v>
                </c:pt>
                <c:pt idx="2">
                  <c:v>21</c:v>
                </c:pt>
                <c:pt idx="3">
                  <c:v>12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D-4491-B1CC-00C5013DEE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563155391"/>
        <c:axId val="563153471"/>
      </c:barChart>
      <c:catAx>
        <c:axId val="56315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Tempo, em minutos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3153471"/>
        <c:crosses val="autoZero"/>
        <c:auto val="1"/>
        <c:lblAlgn val="ctr"/>
        <c:lblOffset val="100"/>
        <c:noMultiLvlLbl val="0"/>
      </c:catAx>
      <c:valAx>
        <c:axId val="56315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frequência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315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</xdr:colOff>
      <xdr:row>24</xdr:row>
      <xdr:rowOff>19050</xdr:rowOff>
    </xdr:from>
    <xdr:to>
      <xdr:col>10</xdr:col>
      <xdr:colOff>54768</xdr:colOff>
      <xdr:row>39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640499-221D-3707-67AA-4B1EF59BB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19" workbookViewId="0">
      <selection activeCell="N44" sqref="N44"/>
    </sheetView>
  </sheetViews>
  <sheetFormatPr defaultRowHeight="14.25" x14ac:dyDescent="0.45"/>
  <cols>
    <col min="1" max="1" width="18.53125" customWidth="1"/>
    <col min="6" max="6" width="9.06640625" customWidth="1"/>
  </cols>
  <sheetData>
    <row r="1" spans="1:11" x14ac:dyDescent="0.45">
      <c r="A1" t="s">
        <v>0</v>
      </c>
    </row>
    <row r="2" spans="1:11" x14ac:dyDescent="0.45">
      <c r="A2">
        <v>0.16</v>
      </c>
      <c r="D2" t="s">
        <v>3</v>
      </c>
      <c r="E2" t="s">
        <v>4</v>
      </c>
      <c r="F2" t="s">
        <v>1</v>
      </c>
    </row>
    <row r="3" spans="1:11" x14ac:dyDescent="0.45">
      <c r="A3">
        <v>2.7</v>
      </c>
      <c r="F3" t="s">
        <v>2</v>
      </c>
    </row>
    <row r="4" spans="1:11" x14ac:dyDescent="0.45">
      <c r="A4">
        <v>1.1200000000000001</v>
      </c>
      <c r="D4" s="2" t="s">
        <v>11</v>
      </c>
    </row>
    <row r="5" spans="1:11" x14ac:dyDescent="0.45">
      <c r="A5">
        <v>2.14</v>
      </c>
      <c r="D5" t="s">
        <v>5</v>
      </c>
      <c r="E5">
        <f>COUNT(A2:A101)</f>
        <v>100</v>
      </c>
    </row>
    <row r="6" spans="1:11" x14ac:dyDescent="0.45">
      <c r="A6">
        <v>3.24</v>
      </c>
      <c r="D6" t="s">
        <v>6</v>
      </c>
      <c r="E6">
        <f>MIN(A2:A101)</f>
        <v>0.16</v>
      </c>
    </row>
    <row r="7" spans="1:11" x14ac:dyDescent="0.45">
      <c r="A7">
        <v>1.43</v>
      </c>
      <c r="D7" t="s">
        <v>7</v>
      </c>
      <c r="E7">
        <f>MAX(A2:A101)</f>
        <v>7.99</v>
      </c>
    </row>
    <row r="8" spans="1:11" x14ac:dyDescent="0.45">
      <c r="A8">
        <v>0.27</v>
      </c>
      <c r="D8" t="s">
        <v>8</v>
      </c>
      <c r="E8">
        <f>E7-E6</f>
        <v>7.83</v>
      </c>
    </row>
    <row r="9" spans="1:11" x14ac:dyDescent="0.45">
      <c r="A9">
        <v>4.34</v>
      </c>
      <c r="D9" t="s">
        <v>9</v>
      </c>
      <c r="F9">
        <f>INT(LOG(E5,2))+1</f>
        <v>7</v>
      </c>
    </row>
    <row r="10" spans="1:11" x14ac:dyDescent="0.45">
      <c r="A10" s="1">
        <v>7</v>
      </c>
      <c r="D10" t="s">
        <v>10</v>
      </c>
      <c r="F10">
        <f>(E7-E6)/7</f>
        <v>1.1185714285714285</v>
      </c>
    </row>
    <row r="11" spans="1:11" x14ac:dyDescent="0.45">
      <c r="A11">
        <v>5.22</v>
      </c>
      <c r="F11" t="s">
        <v>12</v>
      </c>
    </row>
    <row r="12" spans="1:11" x14ac:dyDescent="0.45">
      <c r="A12" s="1">
        <v>3.51</v>
      </c>
    </row>
    <row r="13" spans="1:11" x14ac:dyDescent="0.45">
      <c r="A13">
        <v>4.2300000000000004</v>
      </c>
      <c r="D13" t="s">
        <v>13</v>
      </c>
      <c r="G13" t="s">
        <v>15</v>
      </c>
    </row>
    <row r="14" spans="1:11" x14ac:dyDescent="0.45">
      <c r="A14" s="1">
        <v>2.52</v>
      </c>
      <c r="D14">
        <v>0.15</v>
      </c>
      <c r="G14" t="s">
        <v>14</v>
      </c>
      <c r="H14" t="s">
        <v>16</v>
      </c>
      <c r="I14" t="s">
        <v>17</v>
      </c>
      <c r="J14" t="s">
        <v>18</v>
      </c>
      <c r="K14" t="s">
        <v>19</v>
      </c>
    </row>
    <row r="15" spans="1:11" x14ac:dyDescent="0.45">
      <c r="A15">
        <v>5.31</v>
      </c>
      <c r="D15">
        <f>D14+1.12</f>
        <v>1.27</v>
      </c>
      <c r="G15" t="str">
        <f>CONCATENATE("]",D14,";",D15,"]")</f>
        <v>]0,15;1,27]</v>
      </c>
      <c r="H15">
        <f t="array" ref="H15:H21">FREQUENCY(A2:A101,D15:D21)</f>
        <v>20</v>
      </c>
      <c r="I15" s="3">
        <f>H15/100</f>
        <v>0.2</v>
      </c>
      <c r="J15">
        <f>H15</f>
        <v>20</v>
      </c>
      <c r="K15" s="4">
        <f>I15</f>
        <v>0.2</v>
      </c>
    </row>
    <row r="16" spans="1:11" x14ac:dyDescent="0.45">
      <c r="A16">
        <v>0.28000000000000003</v>
      </c>
      <c r="D16">
        <f t="shared" ref="D16:D21" si="0">D15+1.12</f>
        <v>2.39</v>
      </c>
      <c r="G16" t="str">
        <f t="shared" ref="G16:G21" si="1">CONCATENATE("]",D15,";",D16,"]")</f>
        <v>]1,27;2,39]</v>
      </c>
      <c r="H16">
        <v>25</v>
      </c>
      <c r="I16" s="3">
        <f t="shared" ref="I16:I21" si="2">H16/100</f>
        <v>0.25</v>
      </c>
      <c r="J16">
        <f>J15+H16</f>
        <v>45</v>
      </c>
      <c r="K16" s="4">
        <f>K15+I16</f>
        <v>0.45</v>
      </c>
    </row>
    <row r="17" spans="1:11" x14ac:dyDescent="0.45">
      <c r="A17">
        <v>1.32</v>
      </c>
      <c r="D17">
        <f t="shared" si="0"/>
        <v>3.5100000000000002</v>
      </c>
      <c r="G17" t="str">
        <f t="shared" si="1"/>
        <v>]2,39;3,51]</v>
      </c>
      <c r="H17">
        <v>21</v>
      </c>
      <c r="I17" s="3">
        <f t="shared" si="2"/>
        <v>0.21</v>
      </c>
      <c r="J17">
        <f t="shared" ref="J17:J21" si="3">J16+H17</f>
        <v>66</v>
      </c>
      <c r="K17" s="4">
        <f t="shared" ref="K17:K21" si="4">K16+I17</f>
        <v>0.66</v>
      </c>
    </row>
    <row r="18" spans="1:11" x14ac:dyDescent="0.45">
      <c r="A18">
        <v>2.34</v>
      </c>
      <c r="D18">
        <f t="shared" si="0"/>
        <v>4.6300000000000008</v>
      </c>
      <c r="G18" t="str">
        <f t="shared" si="1"/>
        <v>]3,51;4,63]</v>
      </c>
      <c r="H18">
        <v>12</v>
      </c>
      <c r="I18" s="3">
        <f t="shared" si="2"/>
        <v>0.12</v>
      </c>
      <c r="J18">
        <f t="shared" si="3"/>
        <v>78</v>
      </c>
      <c r="K18" s="4">
        <f t="shared" si="4"/>
        <v>0.78</v>
      </c>
    </row>
    <row r="19" spans="1:11" x14ac:dyDescent="0.45">
      <c r="A19" s="1">
        <v>2.08</v>
      </c>
      <c r="D19">
        <f t="shared" si="0"/>
        <v>5.7500000000000009</v>
      </c>
      <c r="G19" t="str">
        <f t="shared" si="1"/>
        <v>]4,63;5,75]</v>
      </c>
      <c r="H19">
        <v>9</v>
      </c>
      <c r="I19" s="3">
        <f t="shared" si="2"/>
        <v>0.09</v>
      </c>
      <c r="J19">
        <f t="shared" si="3"/>
        <v>87</v>
      </c>
      <c r="K19" s="4">
        <f t="shared" si="4"/>
        <v>0.87</v>
      </c>
    </row>
    <row r="20" spans="1:11" x14ac:dyDescent="0.45">
      <c r="A20">
        <v>1.24</v>
      </c>
      <c r="D20">
        <f t="shared" si="0"/>
        <v>6.870000000000001</v>
      </c>
      <c r="G20" t="str">
        <f t="shared" si="1"/>
        <v>]5,75;6,87]</v>
      </c>
      <c r="H20">
        <v>7</v>
      </c>
      <c r="I20" s="3">
        <f t="shared" si="2"/>
        <v>7.0000000000000007E-2</v>
      </c>
      <c r="J20">
        <f t="shared" si="3"/>
        <v>94</v>
      </c>
      <c r="K20" s="4">
        <f t="shared" si="4"/>
        <v>0.94</v>
      </c>
    </row>
    <row r="21" spans="1:11" x14ac:dyDescent="0.45">
      <c r="A21">
        <v>3.27</v>
      </c>
      <c r="D21">
        <f t="shared" si="0"/>
        <v>7.9900000000000011</v>
      </c>
      <c r="G21" t="str">
        <f t="shared" si="1"/>
        <v>]6,87;7,99]</v>
      </c>
      <c r="H21">
        <v>6</v>
      </c>
      <c r="I21" s="3">
        <f t="shared" si="2"/>
        <v>0.06</v>
      </c>
      <c r="J21">
        <f t="shared" si="3"/>
        <v>100</v>
      </c>
      <c r="K21" s="4">
        <f t="shared" si="4"/>
        <v>1</v>
      </c>
    </row>
    <row r="22" spans="1:11" x14ac:dyDescent="0.45">
      <c r="A22">
        <v>2.71</v>
      </c>
      <c r="G22" t="s">
        <v>20</v>
      </c>
      <c r="H22">
        <f>SUM(H15:H21)</f>
        <v>100</v>
      </c>
      <c r="I22" s="4">
        <f>SUM(I15:I21)</f>
        <v>1</v>
      </c>
    </row>
    <row r="23" spans="1:11" x14ac:dyDescent="0.45">
      <c r="A23">
        <v>2.14</v>
      </c>
    </row>
    <row r="24" spans="1:11" x14ac:dyDescent="0.45">
      <c r="A24">
        <v>6.32</v>
      </c>
      <c r="D24" t="s">
        <v>21</v>
      </c>
    </row>
    <row r="25" spans="1:11" x14ac:dyDescent="0.45">
      <c r="A25">
        <v>2.2400000000000002</v>
      </c>
    </row>
    <row r="26" spans="1:11" x14ac:dyDescent="0.45">
      <c r="A26">
        <v>1.73</v>
      </c>
    </row>
    <row r="27" spans="1:11" x14ac:dyDescent="0.45">
      <c r="A27">
        <v>2.71</v>
      </c>
    </row>
    <row r="28" spans="1:11" x14ac:dyDescent="0.45">
      <c r="A28">
        <v>7.02</v>
      </c>
    </row>
    <row r="29" spans="1:11" x14ac:dyDescent="0.45">
      <c r="A29" s="1">
        <v>5.12</v>
      </c>
    </row>
    <row r="30" spans="1:11" x14ac:dyDescent="0.45">
      <c r="A30">
        <v>2.34</v>
      </c>
    </row>
    <row r="31" spans="1:11" x14ac:dyDescent="0.45">
      <c r="A31">
        <v>2.71</v>
      </c>
    </row>
    <row r="32" spans="1:11" x14ac:dyDescent="0.45">
      <c r="A32">
        <v>1.24</v>
      </c>
    </row>
    <row r="33" spans="1:5" x14ac:dyDescent="0.45">
      <c r="A33">
        <v>3.26</v>
      </c>
    </row>
    <row r="34" spans="1:5" x14ac:dyDescent="0.45">
      <c r="A34">
        <v>1.1599999999999999</v>
      </c>
    </row>
    <row r="35" spans="1:5" x14ac:dyDescent="0.45">
      <c r="A35">
        <v>2.36</v>
      </c>
    </row>
    <row r="36" spans="1:5" x14ac:dyDescent="0.45">
      <c r="A36">
        <v>6.02</v>
      </c>
    </row>
    <row r="37" spans="1:5" x14ac:dyDescent="0.45">
      <c r="A37">
        <v>2.16</v>
      </c>
    </row>
    <row r="38" spans="1:5" x14ac:dyDescent="0.45">
      <c r="A38">
        <v>2.09</v>
      </c>
    </row>
    <row r="39" spans="1:5" x14ac:dyDescent="0.45">
      <c r="A39">
        <v>2.11</v>
      </c>
    </row>
    <row r="40" spans="1:5" x14ac:dyDescent="0.45">
      <c r="A40">
        <v>3.86</v>
      </c>
    </row>
    <row r="41" spans="1:5" x14ac:dyDescent="0.45">
      <c r="A41">
        <v>4.5599999999999996</v>
      </c>
      <c r="D41" t="s">
        <v>22</v>
      </c>
    </row>
    <row r="42" spans="1:5" x14ac:dyDescent="0.45">
      <c r="A42">
        <v>6.09</v>
      </c>
      <c r="D42" t="s">
        <v>37</v>
      </c>
    </row>
    <row r="43" spans="1:5" x14ac:dyDescent="0.45">
      <c r="A43">
        <v>1.08</v>
      </c>
      <c r="D43" t="s">
        <v>38</v>
      </c>
    </row>
    <row r="44" spans="1:5" x14ac:dyDescent="0.45">
      <c r="A44">
        <v>2.72</v>
      </c>
      <c r="D44" t="s">
        <v>39</v>
      </c>
    </row>
    <row r="45" spans="1:5" x14ac:dyDescent="0.45">
      <c r="A45">
        <v>2.71</v>
      </c>
    </row>
    <row r="46" spans="1:5" ht="14.65" thickBot="1" x14ac:dyDescent="0.5">
      <c r="A46">
        <v>4.97</v>
      </c>
    </row>
    <row r="47" spans="1:5" x14ac:dyDescent="0.45">
      <c r="A47">
        <v>3.01</v>
      </c>
      <c r="D47" s="7" t="s">
        <v>23</v>
      </c>
      <c r="E47" s="7"/>
    </row>
    <row r="48" spans="1:5" x14ac:dyDescent="0.45">
      <c r="A48">
        <v>4.1900000000000004</v>
      </c>
      <c r="D48" s="5"/>
      <c r="E48" s="5"/>
    </row>
    <row r="49" spans="1:5" x14ac:dyDescent="0.45">
      <c r="A49">
        <v>5.22</v>
      </c>
      <c r="D49" s="5" t="s">
        <v>24</v>
      </c>
      <c r="E49" s="5">
        <v>3.0179999999999998</v>
      </c>
    </row>
    <row r="50" spans="1:5" x14ac:dyDescent="0.45">
      <c r="A50">
        <v>3.74</v>
      </c>
      <c r="D50" s="5" t="s">
        <v>25</v>
      </c>
      <c r="E50" s="5">
        <v>0.19618636779626386</v>
      </c>
    </row>
    <row r="51" spans="1:5" x14ac:dyDescent="0.45">
      <c r="A51">
        <v>2.12</v>
      </c>
      <c r="D51" s="5" t="s">
        <v>26</v>
      </c>
      <c r="E51" s="5">
        <v>2.7050000000000001</v>
      </c>
    </row>
    <row r="52" spans="1:5" x14ac:dyDescent="0.45">
      <c r="A52">
        <v>1.46</v>
      </c>
      <c r="D52" s="5" t="s">
        <v>27</v>
      </c>
      <c r="E52" s="5">
        <v>2.71</v>
      </c>
    </row>
    <row r="53" spans="1:5" x14ac:dyDescent="0.45">
      <c r="A53">
        <v>0.27</v>
      </c>
      <c r="D53" s="5" t="s">
        <v>28</v>
      </c>
      <c r="E53" s="5">
        <v>1.9618636779626386</v>
      </c>
    </row>
    <row r="54" spans="1:5" x14ac:dyDescent="0.45">
      <c r="A54">
        <v>1.28</v>
      </c>
      <c r="D54" s="5" t="s">
        <v>29</v>
      </c>
      <c r="E54" s="5">
        <v>3.8489090909090922</v>
      </c>
    </row>
    <row r="55" spans="1:5" x14ac:dyDescent="0.45">
      <c r="A55">
        <v>0.39</v>
      </c>
      <c r="D55" s="5" t="s">
        <v>30</v>
      </c>
      <c r="E55" s="5">
        <v>-0.45109491508485178</v>
      </c>
    </row>
    <row r="56" spans="1:5" x14ac:dyDescent="0.45">
      <c r="A56">
        <v>1.41</v>
      </c>
      <c r="D56" s="5" t="s">
        <v>31</v>
      </c>
      <c r="E56" s="5">
        <v>0.63049001305662933</v>
      </c>
    </row>
    <row r="57" spans="1:5" x14ac:dyDescent="0.45">
      <c r="A57">
        <v>0.53</v>
      </c>
      <c r="D57" s="5" t="s">
        <v>32</v>
      </c>
      <c r="E57" s="5">
        <v>7.83</v>
      </c>
    </row>
    <row r="58" spans="1:5" x14ac:dyDescent="0.45">
      <c r="A58">
        <v>2.67</v>
      </c>
      <c r="D58" s="5" t="s">
        <v>33</v>
      </c>
      <c r="E58" s="5">
        <v>0.16</v>
      </c>
    </row>
    <row r="59" spans="1:5" x14ac:dyDescent="0.45">
      <c r="A59">
        <v>3.01</v>
      </c>
      <c r="D59" s="5" t="s">
        <v>34</v>
      </c>
      <c r="E59" s="5">
        <v>7.99</v>
      </c>
    </row>
    <row r="60" spans="1:5" x14ac:dyDescent="0.45">
      <c r="A60">
        <v>3.57</v>
      </c>
      <c r="D60" s="5" t="s">
        <v>35</v>
      </c>
      <c r="E60" s="5">
        <v>301.8</v>
      </c>
    </row>
    <row r="61" spans="1:5" ht="14.65" thickBot="1" x14ac:dyDescent="0.5">
      <c r="A61">
        <v>7.01</v>
      </c>
      <c r="D61" s="6" t="s">
        <v>36</v>
      </c>
      <c r="E61" s="6">
        <v>100</v>
      </c>
    </row>
    <row r="62" spans="1:5" x14ac:dyDescent="0.45">
      <c r="A62">
        <v>0.68</v>
      </c>
    </row>
    <row r="63" spans="1:5" x14ac:dyDescent="0.45">
      <c r="A63">
        <v>1.29</v>
      </c>
    </row>
    <row r="64" spans="1:5" x14ac:dyDescent="0.45">
      <c r="A64">
        <v>3.71</v>
      </c>
    </row>
    <row r="65" spans="1:1" x14ac:dyDescent="0.45">
      <c r="A65">
        <v>2.87</v>
      </c>
    </row>
    <row r="66" spans="1:1" x14ac:dyDescent="0.45">
      <c r="A66">
        <v>1.23</v>
      </c>
    </row>
    <row r="67" spans="1:1" x14ac:dyDescent="0.45">
      <c r="A67">
        <v>0.79</v>
      </c>
    </row>
    <row r="68" spans="1:1" x14ac:dyDescent="0.45">
      <c r="A68">
        <v>4.57</v>
      </c>
    </row>
    <row r="69" spans="1:1" x14ac:dyDescent="0.45">
      <c r="A69">
        <v>2.98</v>
      </c>
    </row>
    <row r="70" spans="1:1" x14ac:dyDescent="0.45">
      <c r="A70">
        <v>1.73</v>
      </c>
    </row>
    <row r="71" spans="1:1" x14ac:dyDescent="0.45">
      <c r="A71">
        <v>2.91</v>
      </c>
    </row>
    <row r="72" spans="1:1" x14ac:dyDescent="0.45">
      <c r="A72">
        <v>0.27</v>
      </c>
    </row>
    <row r="73" spans="1:1" x14ac:dyDescent="0.45">
      <c r="A73">
        <v>6.83</v>
      </c>
    </row>
    <row r="74" spans="1:1" x14ac:dyDescent="0.45">
      <c r="A74">
        <v>3.91</v>
      </c>
    </row>
    <row r="75" spans="1:1" x14ac:dyDescent="0.45">
      <c r="A75">
        <v>2.02</v>
      </c>
    </row>
    <row r="76" spans="1:1" x14ac:dyDescent="0.45">
      <c r="A76">
        <v>1.72</v>
      </c>
    </row>
    <row r="77" spans="1:1" x14ac:dyDescent="0.45">
      <c r="A77">
        <v>4.01</v>
      </c>
    </row>
    <row r="78" spans="1:1" x14ac:dyDescent="0.45">
      <c r="A78">
        <v>5.84</v>
      </c>
    </row>
    <row r="79" spans="1:1" x14ac:dyDescent="0.45">
      <c r="A79">
        <v>5.28</v>
      </c>
    </row>
    <row r="80" spans="1:1" x14ac:dyDescent="0.45">
      <c r="A80">
        <v>6.81</v>
      </c>
    </row>
    <row r="81" spans="1:1" x14ac:dyDescent="0.45">
      <c r="A81">
        <v>7.02</v>
      </c>
    </row>
    <row r="82" spans="1:1" x14ac:dyDescent="0.45">
      <c r="A82">
        <v>0.34</v>
      </c>
    </row>
    <row r="83" spans="1:1" x14ac:dyDescent="0.45">
      <c r="A83">
        <v>6.88</v>
      </c>
    </row>
    <row r="84" spans="1:1" x14ac:dyDescent="0.45">
      <c r="A84">
        <v>2.4300000000000002</v>
      </c>
    </row>
    <row r="85" spans="1:1" x14ac:dyDescent="0.45">
      <c r="A85">
        <v>1.93</v>
      </c>
    </row>
    <row r="86" spans="1:1" x14ac:dyDescent="0.45">
      <c r="A86">
        <v>0.32</v>
      </c>
    </row>
    <row r="87" spans="1:1" x14ac:dyDescent="0.45">
      <c r="A87">
        <v>0.78</v>
      </c>
    </row>
    <row r="88" spans="1:1" x14ac:dyDescent="0.45">
      <c r="A88">
        <v>1.28</v>
      </c>
    </row>
    <row r="89" spans="1:1" x14ac:dyDescent="0.45">
      <c r="A89">
        <v>7.99</v>
      </c>
    </row>
    <row r="90" spans="1:1" x14ac:dyDescent="0.45">
      <c r="A90">
        <v>4.71</v>
      </c>
    </row>
    <row r="91" spans="1:1" x14ac:dyDescent="0.45">
      <c r="A91">
        <v>5.44</v>
      </c>
    </row>
    <row r="92" spans="1:1" x14ac:dyDescent="0.45">
      <c r="A92">
        <v>2.17</v>
      </c>
    </row>
    <row r="93" spans="1:1" x14ac:dyDescent="0.45">
      <c r="A93">
        <v>0.62</v>
      </c>
    </row>
    <row r="94" spans="1:1" x14ac:dyDescent="0.45">
      <c r="A94">
        <v>1.1100000000000001</v>
      </c>
    </row>
    <row r="95" spans="1:1" x14ac:dyDescent="0.45">
      <c r="A95">
        <v>5.82</v>
      </c>
    </row>
    <row r="96" spans="1:1" x14ac:dyDescent="0.45">
      <c r="A96">
        <v>2.71</v>
      </c>
    </row>
    <row r="97" spans="1:1" x14ac:dyDescent="0.45">
      <c r="A97">
        <v>4.79</v>
      </c>
    </row>
    <row r="98" spans="1:1" x14ac:dyDescent="0.45">
      <c r="A98">
        <v>3.66</v>
      </c>
    </row>
    <row r="99" spans="1:1" x14ac:dyDescent="0.45">
      <c r="A99">
        <v>3.09</v>
      </c>
    </row>
    <row r="100" spans="1:1" x14ac:dyDescent="0.45">
      <c r="A100">
        <v>2.5099999999999998</v>
      </c>
    </row>
    <row r="101" spans="1:1" x14ac:dyDescent="0.45">
      <c r="A101">
        <v>1.72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Inês Santos</cp:lastModifiedBy>
  <dcterms:created xsi:type="dcterms:W3CDTF">2023-02-08T10:56:12Z</dcterms:created>
  <dcterms:modified xsi:type="dcterms:W3CDTF">2026-01-08T19:27:45Z</dcterms:modified>
</cp:coreProperties>
</file>