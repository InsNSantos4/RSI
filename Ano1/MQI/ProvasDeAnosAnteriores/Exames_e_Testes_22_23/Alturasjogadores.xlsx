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A\Tecnicos\RSI\Ano1\MQI_Metodos_Quantitativos_para_a_Informatica\ProvasDeAnosAnteriores\Exames_e_Testes_22_23\"/>
    </mc:Choice>
  </mc:AlternateContent>
  <xr:revisionPtr revIDLastSave="0" documentId="13_ncr:1_{ED1F8B7B-2C82-452D-9305-DAE47E03DEA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 s="1"/>
  <c r="J18" i="1" s="1"/>
  <c r="J19" i="1" s="1"/>
  <c r="J20" i="1" s="1"/>
  <c r="J15" i="1"/>
  <c r="J14" i="1"/>
  <c r="I16" i="1"/>
  <c r="I17" i="1"/>
  <c r="I18" i="1" s="1"/>
  <c r="I19" i="1" s="1"/>
  <c r="I20" i="1" s="1"/>
  <c r="I15" i="1"/>
  <c r="I14" i="1"/>
  <c r="H21" i="1"/>
  <c r="H15" i="1"/>
  <c r="H16" i="1"/>
  <c r="H17" i="1"/>
  <c r="H18" i="1"/>
  <c r="H19" i="1"/>
  <c r="H20" i="1"/>
  <c r="H14" i="1"/>
  <c r="G21" i="1"/>
  <c r="G14" i="1" a="1"/>
  <c r="G16" i="1" s="1"/>
  <c r="G14" i="1"/>
  <c r="G15" i="1"/>
  <c r="F15" i="1"/>
  <c r="F16" i="1"/>
  <c r="F17" i="1"/>
  <c r="F18" i="1"/>
  <c r="F19" i="1"/>
  <c r="F20" i="1"/>
  <c r="F14" i="1"/>
  <c r="C15" i="1"/>
  <c r="C16" i="1" s="1"/>
  <c r="C17" i="1" s="1"/>
  <c r="C18" i="1" s="1"/>
  <c r="C19" i="1" s="1"/>
  <c r="C20" i="1" s="1"/>
  <c r="C14" i="1"/>
  <c r="E9" i="1"/>
  <c r="E8" i="1"/>
  <c r="D7" i="1"/>
  <c r="D6" i="1"/>
  <c r="D5" i="1"/>
  <c r="D4" i="1"/>
  <c r="G18" i="1" l="1"/>
  <c r="G17" i="1"/>
  <c r="G20" i="1"/>
  <c r="G19" i="1"/>
</calcChain>
</file>

<file path=xl/sharedStrings.xml><?xml version="1.0" encoding="utf-8"?>
<sst xmlns="http://schemas.openxmlformats.org/spreadsheetml/2006/main" count="39" uniqueCount="39">
  <si>
    <t>Alturas de jogadores do Mundial 2022</t>
  </si>
  <si>
    <t>2.</t>
  </si>
  <si>
    <t>a) Variável: alturas (em m) de alguns jogadores do Mundial 2022.</t>
  </si>
  <si>
    <t>Variável quantitativa contínua.</t>
  </si>
  <si>
    <t>Regra de Sturges:</t>
  </si>
  <si>
    <t>Dimensão:</t>
  </si>
  <si>
    <t>Mínimo:</t>
  </si>
  <si>
    <t>Máximo:</t>
  </si>
  <si>
    <t>Amplitude:</t>
  </si>
  <si>
    <t>Número de Classes:</t>
  </si>
  <si>
    <t>Amplitude das Classes:</t>
  </si>
  <si>
    <t>Limites das Classes:</t>
  </si>
  <si>
    <t>(vou usar 0,05)</t>
  </si>
  <si>
    <t>TABELA DE FREQUÊNCIAS</t>
  </si>
  <si>
    <t>Classes</t>
  </si>
  <si>
    <t>ni</t>
  </si>
  <si>
    <t>fi</t>
  </si>
  <si>
    <t>Ni</t>
  </si>
  <si>
    <t>Fi</t>
  </si>
  <si>
    <t>Total</t>
  </si>
  <si>
    <t>b) Histograma com as frequências absolutas:</t>
  </si>
  <si>
    <t>c)</t>
  </si>
  <si>
    <t>Coluna1</t>
  </si>
  <si>
    <t>Média</t>
  </si>
  <si>
    <t>Erro-padrão</t>
  </si>
  <si>
    <t>Mediana</t>
  </si>
  <si>
    <t>Moda</t>
  </si>
  <si>
    <t>Desvio-padrão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</si>
  <si>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</si>
  <si>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</si>
  <si>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</si>
  <si>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</si>
  <si>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</si>
  <si>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</si>
  <si>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</si>
  <si>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</si>
  <si>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ii. A amplitude dos valores da amostra é 0,33 e o desvio padrão é 0,0654.</t>
  </si>
  <si>
    <t>iii. A altura mínima de um jogador que pertence ao conjunto dos 50% mais altos é 1,82m.</t>
  </si>
  <si>
    <t>i. A altura média dos jogadores é 1,819m e a mais frequente é 1,8m.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</si>
</sst>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2" fillId="0" borderId="0" xfId="0" applyFont="1"/>
    <xf numFmtId="10" fontId="0" fillId="0" borderId="0" xfId="1" applyNumberFormat="1" applyFont="1"/>
    <xf numFmtId="1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Alturas (m) de alguns jogadores do Mundial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Folha1!$F$14:$F$20</c:f>
              <c:strCache>
                <c:ptCount val="7"/>
                <c:pt idx="0">
                  <c:v>]1,65;1,7]</c:v>
                </c:pt>
                <c:pt idx="1">
                  <c:v>]1,7;1,75]</c:v>
                </c:pt>
                <c:pt idx="2">
                  <c:v>]1,75;1,8]</c:v>
                </c:pt>
                <c:pt idx="3">
                  <c:v>]1,8;1,85]</c:v>
                </c:pt>
                <c:pt idx="4">
                  <c:v>]1,85;1,9]</c:v>
                </c:pt>
                <c:pt idx="5">
                  <c:v>]1,9;1,95]</c:v>
                </c:pt>
                <c:pt idx="6">
                  <c:v>]1,95;2]</c:v>
                </c:pt>
              </c:strCache>
            </c:strRef>
          </c:cat>
          <c:val>
            <c:numRef>
              <c:f>Folha1!$G$14:$G$20</c:f>
              <c:numCache>
                <c:formatCode>General</c:formatCode>
                <c:ptCount val="7"/>
                <c:pt idx="0">
                  <c:v>7</c:v>
                </c:pt>
                <c:pt idx="1">
                  <c:v>13</c:v>
                </c:pt>
                <c:pt idx="2">
                  <c:v>35</c:v>
                </c:pt>
                <c:pt idx="3">
                  <c:v>30</c:v>
                </c:pt>
                <c:pt idx="4">
                  <c:v>25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1-494D-85E5-1CBA957D68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299928575"/>
        <c:axId val="299930015"/>
      </c:barChart>
      <c:catAx>
        <c:axId val="29992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altura</a:t>
                </a:r>
                <a:r>
                  <a:rPr lang="pt-PT" baseline="0"/>
                  <a:t> dos jogadores, em metros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99930015"/>
        <c:crosses val="autoZero"/>
        <c:auto val="1"/>
        <c:lblAlgn val="ctr"/>
        <c:lblOffset val="100"/>
        <c:noMultiLvlLbl val="0"/>
      </c:catAx>
      <c:valAx>
        <c:axId val="2999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frequência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9992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40480</xdr:colOff>
      <xdr:row>23</xdr:row>
      <xdr:rowOff>66675</xdr:rowOff>
    </xdr:from>
    <xdr:to>
      <xdr:col>9</xdr:col>
      <xdr:colOff>73818</xdr:colOff>
      <xdr:row>38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67609C-A08D-41D0-9B20-ADF62CE9D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topLeftCell="A25" zoomScaleNormal="100" workbookViewId="0">
      <selection activeCell="O34" sqref="O34"/>
    </sheetView>
  </sheetViews>
  <sheetFormatPr defaultRowHeight="14.25" x14ac:dyDescent="0.45"/>
  <cols>
    <col min="1" max="1" width="34.46484375" customWidth="1"/>
    <col min="5" max="5" width="9.1328125" customWidth="1"/>
  </cols>
  <sheetData>
    <row r="1" spans="1:10" x14ac:dyDescent="0.45">
      <c r="A1" t="s">
        <v>0</v>
      </c>
      <c r="C1" t="s">
        <v>1</v>
      </c>
      <c r="D1" t="s">
        <v>2</v>
      </c>
    </row>
    <row r="2" spans="1:10" x14ac:dyDescent="0.45">
      <c r="A2" s="1">
        <v>1.88</v>
      </c>
      <c r="D2" t="s">
        <v>3</v>
      </c>
    </row>
    <row r="3" spans="1:10" x14ac:dyDescent="0.45">
      <c r="A3" s="1">
        <v>1.8</v>
      </c>
      <c r="C3" s="2" t="s">
        <v>4</v>
      </c>
    </row>
    <row r="4" spans="1:10" x14ac:dyDescent="0.45">
      <c r="A4" s="1">
        <v>1.66</v>
      </c>
      <c r="C4" t="s">
        <v>5</v>
      </c>
      <c r="D4">
        <f>COUNT(A2:A121)</f>
        <v>120</v>
      </c>
    </row>
    <row r="5" spans="1:10" x14ac:dyDescent="0.45">
      <c r="A5" s="1">
        <v>1.84</v>
      </c>
      <c r="C5" t="s">
        <v>6</v>
      </c>
      <c r="D5" s="1">
        <f>MIN(A2:A121)</f>
        <v>1.66</v>
      </c>
    </row>
    <row r="6" spans="1:10" x14ac:dyDescent="0.45">
      <c r="A6" s="1">
        <v>1.79</v>
      </c>
      <c r="C6" t="s">
        <v>7</v>
      </c>
      <c r="D6" s="1">
        <f>MAX(A2:A121)</f>
        <v>1.99</v>
      </c>
    </row>
    <row r="7" spans="1:10" x14ac:dyDescent="0.45">
      <c r="A7" s="1">
        <v>1.7</v>
      </c>
      <c r="C7" t="s">
        <v>8</v>
      </c>
      <c r="D7" s="1">
        <f>D6-D5</f>
        <v>0.33000000000000007</v>
      </c>
    </row>
    <row r="8" spans="1:10" x14ac:dyDescent="0.45">
      <c r="A8" s="1">
        <v>1.8</v>
      </c>
      <c r="C8" t="s">
        <v>9</v>
      </c>
      <c r="E8">
        <f>INT(LOG(120,2))+1</f>
        <v>7</v>
      </c>
    </row>
    <row r="9" spans="1:10" x14ac:dyDescent="0.45">
      <c r="A9" s="1">
        <v>1.87</v>
      </c>
      <c r="C9" t="s">
        <v>10</v>
      </c>
      <c r="E9">
        <f>(D6-D5)/7</f>
        <v>4.7142857142857153E-2</v>
      </c>
    </row>
    <row r="10" spans="1:10" x14ac:dyDescent="0.45">
      <c r="A10" s="1">
        <v>1.7</v>
      </c>
      <c r="E10" t="s">
        <v>12</v>
      </c>
    </row>
    <row r="11" spans="1:10" x14ac:dyDescent="0.45">
      <c r="A11" s="1">
        <v>1.75</v>
      </c>
    </row>
    <row r="12" spans="1:10" x14ac:dyDescent="0.45">
      <c r="A12" s="1">
        <v>1.73</v>
      </c>
      <c r="C12" t="s">
        <v>11</v>
      </c>
      <c r="F12" t="s">
        <v>13</v>
      </c>
    </row>
    <row r="13" spans="1:10" x14ac:dyDescent="0.45">
      <c r="A13" s="1">
        <v>1.87</v>
      </c>
      <c r="C13">
        <v>1.65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</row>
    <row r="14" spans="1:10" x14ac:dyDescent="0.45">
      <c r="A14" s="1">
        <v>1.76</v>
      </c>
      <c r="C14">
        <f>C13+0.05</f>
        <v>1.7</v>
      </c>
      <c r="F14" t="str">
        <f>CONCATENATE("]",C13,";",C14,"]")</f>
        <v>]1,65;1,7]</v>
      </c>
      <c r="G14">
        <f t="array" ref="G14:G20">FREQUENCY(A2:A121,C14:C20)</f>
        <v>7</v>
      </c>
      <c r="H14" s="3">
        <f>G14/120</f>
        <v>5.8333333333333334E-2</v>
      </c>
      <c r="I14">
        <f>G14</f>
        <v>7</v>
      </c>
      <c r="J14" s="4">
        <f>H14</f>
        <v>5.8333333333333334E-2</v>
      </c>
    </row>
    <row r="15" spans="1:10" x14ac:dyDescent="0.45">
      <c r="A15" s="1">
        <v>1.68</v>
      </c>
      <c r="C15">
        <f t="shared" ref="C15:C20" si="0">C14+0.05</f>
        <v>1.75</v>
      </c>
      <c r="F15" t="str">
        <f t="shared" ref="F15:F20" si="1">CONCATENATE("]",C14,";",C15,"]")</f>
        <v>]1,7;1,75]</v>
      </c>
      <c r="G15">
        <v>13</v>
      </c>
      <c r="H15" s="3">
        <f t="shared" ref="H15:H20" si="2">G15/120</f>
        <v>0.10833333333333334</v>
      </c>
      <c r="I15">
        <f>I14+G15</f>
        <v>20</v>
      </c>
      <c r="J15" s="4">
        <f>J14+H15</f>
        <v>0.16666666666666669</v>
      </c>
    </row>
    <row r="16" spans="1:10" x14ac:dyDescent="0.45">
      <c r="A16" s="1">
        <v>1.95</v>
      </c>
      <c r="C16">
        <f t="shared" si="0"/>
        <v>1.8</v>
      </c>
      <c r="F16" t="str">
        <f t="shared" si="1"/>
        <v>]1,75;1,8]</v>
      </c>
      <c r="G16">
        <v>35</v>
      </c>
      <c r="H16" s="3">
        <f t="shared" si="2"/>
        <v>0.29166666666666669</v>
      </c>
      <c r="I16">
        <f t="shared" ref="I16:I20" si="3">I15+G16</f>
        <v>55</v>
      </c>
      <c r="J16" s="4">
        <f t="shared" ref="J16:J20" si="4">J15+H16</f>
        <v>0.45833333333333337</v>
      </c>
    </row>
    <row r="17" spans="1:10" x14ac:dyDescent="0.45">
      <c r="A17" s="1">
        <v>1.78</v>
      </c>
      <c r="C17">
        <f t="shared" si="0"/>
        <v>1.85</v>
      </c>
      <c r="F17" t="str">
        <f t="shared" si="1"/>
        <v>]1,8;1,85]</v>
      </c>
      <c r="G17">
        <v>30</v>
      </c>
      <c r="H17" s="3">
        <f t="shared" si="2"/>
        <v>0.25</v>
      </c>
      <c r="I17">
        <f t="shared" si="3"/>
        <v>85</v>
      </c>
      <c r="J17" s="4">
        <f t="shared" si="4"/>
        <v>0.70833333333333337</v>
      </c>
    </row>
    <row r="18" spans="1:10" x14ac:dyDescent="0.45">
      <c r="A18" s="1">
        <v>1.75</v>
      </c>
      <c r="C18">
        <f t="shared" si="0"/>
        <v>1.9000000000000001</v>
      </c>
      <c r="F18" t="str">
        <f t="shared" si="1"/>
        <v>]1,85;1,9]</v>
      </c>
      <c r="G18">
        <v>25</v>
      </c>
      <c r="H18" s="3">
        <f t="shared" si="2"/>
        <v>0.20833333333333334</v>
      </c>
      <c r="I18">
        <f t="shared" si="3"/>
        <v>110</v>
      </c>
      <c r="J18" s="4">
        <f t="shared" si="4"/>
        <v>0.91666666666666674</v>
      </c>
    </row>
    <row r="19" spans="1:10" x14ac:dyDescent="0.45">
      <c r="A19" s="1">
        <v>1.89</v>
      </c>
      <c r="C19">
        <f t="shared" si="0"/>
        <v>1.9500000000000002</v>
      </c>
      <c r="F19" t="str">
        <f t="shared" si="1"/>
        <v>]1,9;1,95]</v>
      </c>
      <c r="G19">
        <v>8</v>
      </c>
      <c r="H19" s="3">
        <f t="shared" si="2"/>
        <v>6.6666666666666666E-2</v>
      </c>
      <c r="I19">
        <f t="shared" si="3"/>
        <v>118</v>
      </c>
      <c r="J19" s="4">
        <f t="shared" si="4"/>
        <v>0.98333333333333339</v>
      </c>
    </row>
    <row r="20" spans="1:10" x14ac:dyDescent="0.45">
      <c r="A20" s="1">
        <v>1.75</v>
      </c>
      <c r="C20">
        <f t="shared" si="0"/>
        <v>2</v>
      </c>
      <c r="F20" t="str">
        <f t="shared" si="1"/>
        <v>]1,95;2]</v>
      </c>
      <c r="G20">
        <v>2</v>
      </c>
      <c r="H20" s="3">
        <f t="shared" si="2"/>
        <v>1.6666666666666666E-2</v>
      </c>
      <c r="I20">
        <f t="shared" si="3"/>
        <v>120</v>
      </c>
      <c r="J20" s="4">
        <f t="shared" si="4"/>
        <v>1</v>
      </c>
    </row>
    <row r="21" spans="1:10" x14ac:dyDescent="0.45">
      <c r="A21" s="1">
        <v>1.9</v>
      </c>
      <c r="F21" t="s">
        <v>19</v>
      </c>
      <c r="G21">
        <f>SUM(G14:G20)</f>
        <v>120</v>
      </c>
      <c r="H21" s="4">
        <f>SUM(H14:H20)</f>
        <v>1</v>
      </c>
    </row>
    <row r="22" spans="1:10" x14ac:dyDescent="0.45">
      <c r="A22" s="1">
        <v>1.82</v>
      </c>
    </row>
    <row r="23" spans="1:10" x14ac:dyDescent="0.45">
      <c r="A23" s="1">
        <v>1.8</v>
      </c>
      <c r="C23" t="s">
        <v>20</v>
      </c>
    </row>
    <row r="24" spans="1:10" x14ac:dyDescent="0.45">
      <c r="A24" s="1">
        <v>1.88</v>
      </c>
    </row>
    <row r="25" spans="1:10" x14ac:dyDescent="0.45">
      <c r="A25" s="1">
        <v>1.87</v>
      </c>
    </row>
    <row r="26" spans="1:10" x14ac:dyDescent="0.45">
      <c r="A26" s="1">
        <v>1.76</v>
      </c>
    </row>
    <row r="27" spans="1:10" x14ac:dyDescent="0.45">
      <c r="A27" s="1">
        <v>1.88</v>
      </c>
    </row>
    <row r="28" spans="1:10" x14ac:dyDescent="0.45">
      <c r="A28" s="1">
        <v>1.83</v>
      </c>
    </row>
    <row r="29" spans="1:10" x14ac:dyDescent="0.45">
      <c r="A29" s="1">
        <v>1.92</v>
      </c>
    </row>
    <row r="30" spans="1:10" x14ac:dyDescent="0.45">
      <c r="A30" s="1">
        <v>1.82</v>
      </c>
    </row>
    <row r="31" spans="1:10" x14ac:dyDescent="0.45">
      <c r="A31" s="1">
        <v>1.9</v>
      </c>
    </row>
    <row r="32" spans="1:10" x14ac:dyDescent="0.45">
      <c r="A32" s="1">
        <v>1.76</v>
      </c>
    </row>
    <row r="33" spans="1:4" x14ac:dyDescent="0.45">
      <c r="A33" s="1">
        <v>1.83</v>
      </c>
    </row>
    <row r="34" spans="1:4" x14ac:dyDescent="0.45">
      <c r="A34" s="1">
        <v>1.85</v>
      </c>
    </row>
    <row r="35" spans="1:4" x14ac:dyDescent="0.45">
      <c r="A35" s="1">
        <v>1.78</v>
      </c>
    </row>
    <row r="36" spans="1:4" x14ac:dyDescent="0.45">
      <c r="A36" s="1">
        <v>1.75</v>
      </c>
    </row>
    <row r="37" spans="1:4" x14ac:dyDescent="0.45">
      <c r="A37" s="1">
        <v>1.85</v>
      </c>
    </row>
    <row r="38" spans="1:4" x14ac:dyDescent="0.45">
      <c r="A38" s="1">
        <v>1.98</v>
      </c>
    </row>
    <row r="39" spans="1:4" x14ac:dyDescent="0.45">
      <c r="A39" s="1">
        <v>1.81</v>
      </c>
    </row>
    <row r="40" spans="1:4" x14ac:dyDescent="0.45">
      <c r="A40" s="1">
        <v>1.91</v>
      </c>
    </row>
    <row r="41" spans="1:4" x14ac:dyDescent="0.45">
      <c r="A41" s="1">
        <v>1.92</v>
      </c>
      <c r="C41" t="s">
        <v>21</v>
      </c>
    </row>
    <row r="42" spans="1:4" x14ac:dyDescent="0.45">
      <c r="A42" s="1">
        <v>1.83</v>
      </c>
      <c r="C42" t="s">
        <v>38</v>
      </c>
    </row>
    <row r="43" spans="1:4" x14ac:dyDescent="0.45">
      <c r="A43" s="1">
        <v>1.8</v>
      </c>
      <c r="C43" t="s">
        <v>36</v>
      </c>
    </row>
    <row r="44" spans="1:4" x14ac:dyDescent="0.45">
      <c r="A44" s="1">
        <v>1.95</v>
      </c>
      <c r="C44" t="s">
        <v>37</v>
      </c>
    </row>
    <row r="45" spans="1:4" x14ac:dyDescent="0.45">
      <c r="A45" s="1">
        <v>1.89</v>
      </c>
    </row>
    <row r="46" spans="1:4" ht="14.65" thickBot="1" x14ac:dyDescent="0.5">
      <c r="A46" s="1">
        <v>1.77</v>
      </c>
    </row>
    <row r="47" spans="1:4" x14ac:dyDescent="0.45">
      <c r="A47" s="1">
        <v>1.7</v>
      </c>
      <c r="C47" s="7" t="s">
        <v>22</v>
      </c>
      <c r="D47" s="7"/>
    </row>
    <row r="48" spans="1:4" x14ac:dyDescent="0.45">
      <c r="A48" s="1">
        <v>1.88</v>
      </c>
      <c r="C48" s="5"/>
      <c r="D48" s="5"/>
    </row>
    <row r="49" spans="1:4" x14ac:dyDescent="0.45">
      <c r="A49" s="1">
        <v>1.8</v>
      </c>
      <c r="C49" s="5" t="s">
        <v>23</v>
      </c>
      <c r="D49" s="5">
        <v>1.8190833333333338</v>
      </c>
    </row>
    <row r="50" spans="1:4" x14ac:dyDescent="0.45">
      <c r="A50" s="1">
        <v>1.85</v>
      </c>
      <c r="C50" s="5" t="s">
        <v>24</v>
      </c>
      <c r="D50" s="5">
        <v>5.9679299712650288E-3</v>
      </c>
    </row>
    <row r="51" spans="1:4" x14ac:dyDescent="0.45">
      <c r="A51" s="1">
        <v>1.88</v>
      </c>
      <c r="C51" s="5" t="s">
        <v>25</v>
      </c>
      <c r="D51" s="5">
        <v>1.82</v>
      </c>
    </row>
    <row r="52" spans="1:4" x14ac:dyDescent="0.45">
      <c r="A52" s="1">
        <v>1.85</v>
      </c>
      <c r="C52" s="5" t="s">
        <v>26</v>
      </c>
      <c r="D52" s="5">
        <v>1.8</v>
      </c>
    </row>
    <row r="53" spans="1:4" x14ac:dyDescent="0.45">
      <c r="A53" s="1">
        <v>1.73</v>
      </c>
      <c r="C53" s="5" t="s">
        <v>27</v>
      </c>
      <c r="D53" s="5">
        <v>6.5375397337460284E-2</v>
      </c>
    </row>
    <row r="54" spans="1:4" x14ac:dyDescent="0.45">
      <c r="A54" s="1">
        <v>1.71</v>
      </c>
      <c r="C54" s="5" t="s">
        <v>28</v>
      </c>
      <c r="D54" s="5">
        <v>4.2739425770308087E-3</v>
      </c>
    </row>
    <row r="55" spans="1:4" x14ac:dyDescent="0.45">
      <c r="A55" s="1">
        <v>1.82</v>
      </c>
      <c r="C55" s="5" t="s">
        <v>29</v>
      </c>
      <c r="D55" s="5">
        <v>-0.18646006386078406</v>
      </c>
    </row>
    <row r="56" spans="1:4" x14ac:dyDescent="0.45">
      <c r="A56" s="1">
        <v>1.77</v>
      </c>
      <c r="C56" s="5" t="s">
        <v>30</v>
      </c>
      <c r="D56" s="5">
        <v>2.2441481844546852E-2</v>
      </c>
    </row>
    <row r="57" spans="1:4" x14ac:dyDescent="0.45">
      <c r="A57" s="1">
        <v>1.8</v>
      </c>
      <c r="C57" s="5" t="s">
        <v>31</v>
      </c>
      <c r="D57" s="5">
        <v>0.33000000000000007</v>
      </c>
    </row>
    <row r="58" spans="1:4" x14ac:dyDescent="0.45">
      <c r="A58" s="1">
        <v>1.7</v>
      </c>
      <c r="C58" s="5" t="s">
        <v>32</v>
      </c>
      <c r="D58" s="5">
        <v>1.66</v>
      </c>
    </row>
    <row r="59" spans="1:4" x14ac:dyDescent="0.45">
      <c r="A59" s="1">
        <v>1.71</v>
      </c>
      <c r="C59" s="5" t="s">
        <v>33</v>
      </c>
      <c r="D59" s="5">
        <v>1.99</v>
      </c>
    </row>
    <row r="60" spans="1:4" x14ac:dyDescent="0.45">
      <c r="A60" s="1">
        <v>1.83</v>
      </c>
      <c r="C60" s="5" t="s">
        <v>34</v>
      </c>
      <c r="D60" s="5">
        <v>218.29000000000005</v>
      </c>
    </row>
    <row r="61" spans="1:4" ht="14.65" thickBot="1" x14ac:dyDescent="0.5">
      <c r="A61" s="1">
        <v>1.76</v>
      </c>
      <c r="C61" s="6" t="s">
        <v>35</v>
      </c>
      <c r="D61" s="6">
        <v>120</v>
      </c>
    </row>
    <row r="62" spans="1:4" x14ac:dyDescent="0.45">
      <c r="A62" s="1">
        <v>1.82</v>
      </c>
    </row>
    <row r="63" spans="1:4" x14ac:dyDescent="0.45">
      <c r="A63" s="1">
        <v>1.92</v>
      </c>
    </row>
    <row r="64" spans="1:4" x14ac:dyDescent="0.45">
      <c r="A64" s="1">
        <v>1.8</v>
      </c>
    </row>
    <row r="65" spans="1:1" x14ac:dyDescent="0.45">
      <c r="A65" s="1">
        <v>1.85</v>
      </c>
    </row>
    <row r="66" spans="1:1" x14ac:dyDescent="0.45">
      <c r="A66" s="1">
        <v>1.76</v>
      </c>
    </row>
    <row r="67" spans="1:1" x14ac:dyDescent="0.45">
      <c r="A67" s="1">
        <v>1.74</v>
      </c>
    </row>
    <row r="68" spans="1:1" x14ac:dyDescent="0.45">
      <c r="A68" s="1">
        <v>1.8</v>
      </c>
    </row>
    <row r="69" spans="1:1" x14ac:dyDescent="0.45">
      <c r="A69" s="1">
        <v>1.84</v>
      </c>
    </row>
    <row r="70" spans="1:1" x14ac:dyDescent="0.45">
      <c r="A70" s="1">
        <v>1.84</v>
      </c>
    </row>
    <row r="71" spans="1:1" x14ac:dyDescent="0.45">
      <c r="A71" s="1">
        <v>1.91</v>
      </c>
    </row>
    <row r="72" spans="1:1" x14ac:dyDescent="0.45">
      <c r="A72" s="1">
        <v>1.8</v>
      </c>
    </row>
    <row r="73" spans="1:1" x14ac:dyDescent="0.45">
      <c r="A73" s="1">
        <v>1.84</v>
      </c>
    </row>
    <row r="74" spans="1:1" x14ac:dyDescent="0.45">
      <c r="A74" s="1">
        <v>1.86</v>
      </c>
    </row>
    <row r="75" spans="1:1" x14ac:dyDescent="0.45">
      <c r="A75" s="1">
        <v>1.88</v>
      </c>
    </row>
    <row r="76" spans="1:1" x14ac:dyDescent="0.45">
      <c r="A76" s="1">
        <v>1.75</v>
      </c>
    </row>
    <row r="77" spans="1:1" x14ac:dyDescent="0.45">
      <c r="A77" s="1">
        <v>1.84</v>
      </c>
    </row>
    <row r="78" spans="1:1" x14ac:dyDescent="0.45">
      <c r="A78" s="1">
        <v>1.7</v>
      </c>
    </row>
    <row r="79" spans="1:1" x14ac:dyDescent="0.45">
      <c r="A79" s="1">
        <v>1.8</v>
      </c>
    </row>
    <row r="80" spans="1:1" x14ac:dyDescent="0.45">
      <c r="A80" s="1">
        <v>1.83</v>
      </c>
    </row>
    <row r="81" spans="1:1" x14ac:dyDescent="0.45">
      <c r="A81" s="1">
        <v>1.83</v>
      </c>
    </row>
    <row r="82" spans="1:1" x14ac:dyDescent="0.45">
      <c r="A82" s="1">
        <v>1.79</v>
      </c>
    </row>
    <row r="83" spans="1:1" x14ac:dyDescent="0.45">
      <c r="A83" s="1">
        <v>1.76</v>
      </c>
    </row>
    <row r="84" spans="1:1" x14ac:dyDescent="0.45">
      <c r="A84" s="1">
        <v>1.81</v>
      </c>
    </row>
    <row r="85" spans="1:1" x14ac:dyDescent="0.45">
      <c r="A85" s="1">
        <v>1.83</v>
      </c>
    </row>
    <row r="86" spans="1:1" x14ac:dyDescent="0.45">
      <c r="A86" s="1">
        <v>1.89</v>
      </c>
    </row>
    <row r="87" spans="1:1" x14ac:dyDescent="0.45">
      <c r="A87" s="1">
        <v>1.87</v>
      </c>
    </row>
    <row r="88" spans="1:1" x14ac:dyDescent="0.45">
      <c r="A88" s="1">
        <v>1.84</v>
      </c>
    </row>
    <row r="89" spans="1:1" x14ac:dyDescent="0.45">
      <c r="A89" s="1">
        <v>1.99</v>
      </c>
    </row>
    <row r="90" spans="1:1" x14ac:dyDescent="0.45">
      <c r="A90" s="1">
        <v>1.8</v>
      </c>
    </row>
    <row r="91" spans="1:1" x14ac:dyDescent="0.45">
      <c r="A91" s="1">
        <v>1.87</v>
      </c>
    </row>
    <row r="92" spans="1:1" x14ac:dyDescent="0.45">
      <c r="A92" s="1">
        <v>1.88</v>
      </c>
    </row>
    <row r="93" spans="1:1" x14ac:dyDescent="0.45">
      <c r="A93" s="1">
        <v>1.81</v>
      </c>
    </row>
    <row r="94" spans="1:1" x14ac:dyDescent="0.45">
      <c r="A94" s="1">
        <v>1.78</v>
      </c>
    </row>
    <row r="95" spans="1:1" x14ac:dyDescent="0.45">
      <c r="A95" s="1">
        <v>1.85</v>
      </c>
    </row>
    <row r="96" spans="1:1" x14ac:dyDescent="0.45">
      <c r="A96" s="1">
        <v>1.84</v>
      </c>
    </row>
    <row r="97" spans="1:1" x14ac:dyDescent="0.45">
      <c r="A97" s="1">
        <v>1.8</v>
      </c>
    </row>
    <row r="98" spans="1:1" x14ac:dyDescent="0.45">
      <c r="A98" s="1">
        <v>1.86</v>
      </c>
    </row>
    <row r="99" spans="1:1" x14ac:dyDescent="0.45">
      <c r="A99" s="1">
        <v>1.85</v>
      </c>
    </row>
    <row r="100" spans="1:1" x14ac:dyDescent="0.45">
      <c r="A100" s="1">
        <v>1.9</v>
      </c>
    </row>
    <row r="101" spans="1:1" x14ac:dyDescent="0.45">
      <c r="A101" s="1">
        <v>1.89</v>
      </c>
    </row>
    <row r="102" spans="1:1" x14ac:dyDescent="0.45">
      <c r="A102" s="1">
        <v>1.78</v>
      </c>
    </row>
    <row r="103" spans="1:1" x14ac:dyDescent="0.45">
      <c r="A103" s="1">
        <v>1.79</v>
      </c>
    </row>
    <row r="104" spans="1:1" x14ac:dyDescent="0.45">
      <c r="A104" s="1">
        <v>1.8</v>
      </c>
    </row>
    <row r="105" spans="1:1" x14ac:dyDescent="0.45">
      <c r="A105" s="1">
        <v>1.72</v>
      </c>
    </row>
    <row r="106" spans="1:1" x14ac:dyDescent="0.45">
      <c r="A106" s="1">
        <v>1.78</v>
      </c>
    </row>
    <row r="107" spans="1:1" x14ac:dyDescent="0.45">
      <c r="A107" s="1">
        <v>1.82</v>
      </c>
    </row>
    <row r="108" spans="1:1" x14ac:dyDescent="0.45">
      <c r="A108" s="1">
        <v>1.88</v>
      </c>
    </row>
    <row r="109" spans="1:1" x14ac:dyDescent="0.45">
      <c r="A109" s="1">
        <v>1.8</v>
      </c>
    </row>
    <row r="110" spans="1:1" x14ac:dyDescent="0.45">
      <c r="A110" s="1">
        <v>1.75</v>
      </c>
    </row>
    <row r="111" spans="1:1" x14ac:dyDescent="0.45">
      <c r="A111" s="1">
        <v>1.76</v>
      </c>
    </row>
    <row r="112" spans="1:1" x14ac:dyDescent="0.45">
      <c r="A112" s="1">
        <v>1.75</v>
      </c>
    </row>
    <row r="113" spans="1:1" x14ac:dyDescent="0.45">
      <c r="A113" s="1">
        <v>1.86</v>
      </c>
    </row>
    <row r="114" spans="1:1" x14ac:dyDescent="0.45">
      <c r="A114" s="1">
        <v>1.8</v>
      </c>
    </row>
    <row r="115" spans="1:1" x14ac:dyDescent="0.45">
      <c r="A115" s="1">
        <v>1.85</v>
      </c>
    </row>
    <row r="116" spans="1:1" x14ac:dyDescent="0.45">
      <c r="A116" s="1">
        <v>1.89</v>
      </c>
    </row>
    <row r="117" spans="1:1" x14ac:dyDescent="0.45">
      <c r="A117" s="1">
        <v>1.78</v>
      </c>
    </row>
    <row r="118" spans="1:1" x14ac:dyDescent="0.45">
      <c r="A118" s="1">
        <v>1.77</v>
      </c>
    </row>
    <row r="119" spans="1:1" x14ac:dyDescent="0.45">
      <c r="A119" s="1">
        <v>1.8</v>
      </c>
    </row>
    <row r="120" spans="1:1" x14ac:dyDescent="0.45">
      <c r="A120" s="1">
        <v>1.93</v>
      </c>
    </row>
    <row r="121" spans="1:1" x14ac:dyDescent="0.45">
      <c r="A121" s="1">
        <v>1.86</v>
      </c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Inês Santos</cp:lastModifiedBy>
  <dcterms:created xsi:type="dcterms:W3CDTF">2023-01-15T14:21:48Z</dcterms:created>
  <dcterms:modified xsi:type="dcterms:W3CDTF">2026-01-08T19:27:48Z</dcterms:modified>
</cp:coreProperties>
</file>