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UA\Tecnicos\RSI\Ano1\MQI_Metodos_Quantitativos_para_a_Informatica\MaterialdeApoio\FichasDeExercicios\Fichas de Exercícios-20260104\"/>
    </mc:Choice>
  </mc:AlternateContent>
  <xr:revisionPtr revIDLastSave="0" documentId="13_ncr:1_{846A1D7C-92DD-4FDF-9B1A-9037C4C8D526}" xr6:coauthVersionLast="47" xr6:coauthVersionMax="47" xr10:uidLastSave="{00000000-0000-0000-0000-000000000000}"/>
  <bookViews>
    <workbookView xWindow="-98" yWindow="-98" windowWidth="24196" windowHeight="14476" activeTab="3" xr2:uid="{95B6758A-DB15-4F80-A12A-0BA151E9A35B}"/>
  </bookViews>
  <sheets>
    <sheet name="Folha1" sheetId="1" r:id="rId1"/>
    <sheet name="Folha2" sheetId="5" r:id="rId2"/>
    <sheet name="Folha3" sheetId="7" r:id="rId3"/>
    <sheet name="Folha4" sheetId="12" r:id="rId4"/>
    <sheet name="Folha5" sheetId="4" r:id="rId5"/>
    <sheet name="Folha6" sheetId="8" r:id="rId6"/>
    <sheet name="Folha7" sheetId="10" r:id="rId7"/>
    <sheet name="Folha8" sheetId="9" r:id="rId8"/>
    <sheet name="Folha9" sheetId="11" r:id="rId9"/>
    <sheet name="Folha10" sheetId="13" r:id="rId10"/>
    <sheet name="Folha11" sheetId="14" r:id="rId11"/>
    <sheet name="Folha12" sheetId="15" r:id="rId12"/>
  </sheets>
  <definedNames>
    <definedName name="_xlnm._FilterDatabase" localSheetId="9" hidden="1">Folha10!$A$13:$A$52</definedName>
    <definedName name="_xlnm._FilterDatabase" localSheetId="1" hidden="1">Folha2!$C$16:$C$115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15" l="1"/>
  <c r="C63" i="15"/>
  <c r="D59" i="15"/>
  <c r="J29" i="15"/>
  <c r="J30" i="15"/>
  <c r="J31" i="15"/>
  <c r="J32" i="15"/>
  <c r="J33" i="15" s="1"/>
  <c r="J28" i="15"/>
  <c r="J27" i="15"/>
  <c r="I29" i="15"/>
  <c r="I30" i="15" s="1"/>
  <c r="I31" i="15" s="1"/>
  <c r="I32" i="15" s="1"/>
  <c r="I33" i="15" s="1"/>
  <c r="I28" i="15"/>
  <c r="I27" i="15"/>
  <c r="H28" i="15"/>
  <c r="H29" i="15"/>
  <c r="H30" i="15"/>
  <c r="H31" i="15"/>
  <c r="H32" i="15"/>
  <c r="H33" i="15"/>
  <c r="H27" i="15"/>
  <c r="G34" i="15"/>
  <c r="G27" i="15" a="1"/>
  <c r="G27" i="15"/>
  <c r="G28" i="15"/>
  <c r="G29" i="15"/>
  <c r="G30" i="15"/>
  <c r="G31" i="15"/>
  <c r="G32" i="15"/>
  <c r="G33" i="15"/>
  <c r="F28" i="15"/>
  <c r="F29" i="15"/>
  <c r="F30" i="15"/>
  <c r="F31" i="15"/>
  <c r="F32" i="15"/>
  <c r="F33" i="15"/>
  <c r="F27" i="15"/>
  <c r="C33" i="15"/>
  <c r="C28" i="15"/>
  <c r="C29" i="15"/>
  <c r="C30" i="15"/>
  <c r="C31" i="15"/>
  <c r="C32" i="15"/>
  <c r="C27" i="15"/>
  <c r="E23" i="15"/>
  <c r="D21" i="15"/>
  <c r="D20" i="15"/>
  <c r="F19" i="15"/>
  <c r="E18" i="15"/>
  <c r="G25" i="9" l="1"/>
  <c r="G26" i="9" s="1"/>
  <c r="G24" i="9"/>
  <c r="G23" i="9"/>
  <c r="F25" i="9"/>
  <c r="F26" i="9" s="1"/>
  <c r="F24" i="9"/>
  <c r="F23" i="9"/>
  <c r="E27" i="9"/>
  <c r="E24" i="9"/>
  <c r="E25" i="9"/>
  <c r="E26" i="9"/>
  <c r="E23" i="9"/>
  <c r="D27" i="9"/>
  <c r="D24" i="9"/>
  <c r="D25" i="9"/>
  <c r="D26" i="9"/>
  <c r="D23" i="9"/>
  <c r="E19" i="9"/>
  <c r="C58" i="10"/>
  <c r="F28" i="10"/>
  <c r="I33" i="8"/>
  <c r="I34" i="8" s="1"/>
  <c r="I35" i="8" s="1"/>
  <c r="I36" i="8" s="1"/>
  <c r="I37" i="8" s="1"/>
  <c r="I32" i="8"/>
  <c r="I31" i="8"/>
  <c r="H33" i="8"/>
  <c r="H34" i="8"/>
  <c r="H35" i="8"/>
  <c r="H36" i="8" s="1"/>
  <c r="H37" i="8" s="1"/>
  <c r="H32" i="8"/>
  <c r="H31" i="8"/>
  <c r="G32" i="8"/>
  <c r="G33" i="8"/>
  <c r="G34" i="8"/>
  <c r="G35" i="8"/>
  <c r="G36" i="8"/>
  <c r="G37" i="8"/>
  <c r="G31" i="8"/>
  <c r="F31" i="8" a="1"/>
  <c r="F31" i="8" s="1"/>
  <c r="E37" i="8"/>
  <c r="E32" i="8"/>
  <c r="E33" i="8"/>
  <c r="E34" i="8"/>
  <c r="E35" i="8"/>
  <c r="E36" i="8"/>
  <c r="E31" i="8"/>
  <c r="C32" i="8"/>
  <c r="C33" i="8" s="1"/>
  <c r="C34" i="8" s="1"/>
  <c r="C35" i="8" s="1"/>
  <c r="C36" i="8" s="1"/>
  <c r="C37" i="8" s="1"/>
  <c r="C31" i="8"/>
  <c r="C27" i="8"/>
  <c r="D24" i="8"/>
  <c r="D23" i="8"/>
  <c r="D21" i="8"/>
  <c r="D20" i="8"/>
  <c r="C22" i="14"/>
  <c r="C26" i="14"/>
  <c r="E16" i="14"/>
  <c r="D60" i="14"/>
  <c r="D59" i="14"/>
  <c r="J28" i="14"/>
  <c r="J29" i="14"/>
  <c r="J30" i="14" s="1"/>
  <c r="J31" i="14" s="1"/>
  <c r="J32" i="14" s="1"/>
  <c r="J33" i="14" s="1"/>
  <c r="J27" i="14"/>
  <c r="J26" i="14"/>
  <c r="I28" i="14"/>
  <c r="I29" i="14"/>
  <c r="I30" i="14"/>
  <c r="I31" i="14"/>
  <c r="I32" i="14"/>
  <c r="I33" i="14"/>
  <c r="I27" i="14"/>
  <c r="I26" i="14"/>
  <c r="H27" i="14"/>
  <c r="H28" i="14"/>
  <c r="H29" i="14"/>
  <c r="H30" i="14"/>
  <c r="H31" i="14"/>
  <c r="H32" i="14"/>
  <c r="H33" i="14"/>
  <c r="H26" i="14"/>
  <c r="G26" i="14" a="1"/>
  <c r="G26" i="14" s="1"/>
  <c r="F27" i="14"/>
  <c r="F28" i="14"/>
  <c r="F29" i="14"/>
  <c r="F30" i="14"/>
  <c r="F31" i="14"/>
  <c r="F32" i="14"/>
  <c r="F33" i="14"/>
  <c r="F26" i="14"/>
  <c r="C27" i="14"/>
  <c r="C28" i="14"/>
  <c r="C29" i="14" s="1"/>
  <c r="C30" i="14" s="1"/>
  <c r="C31" i="14" s="1"/>
  <c r="C32" i="14" s="1"/>
  <c r="C33" i="14" s="1"/>
  <c r="D19" i="14"/>
  <c r="D18" i="14"/>
  <c r="E14" i="14"/>
  <c r="J30" i="11"/>
  <c r="J31" i="11"/>
  <c r="J32" i="11"/>
  <c r="J33" i="11"/>
  <c r="J34" i="11"/>
  <c r="J29" i="11"/>
  <c r="J28" i="11"/>
  <c r="I30" i="11"/>
  <c r="I31" i="11" s="1"/>
  <c r="I32" i="11" s="1"/>
  <c r="I33" i="11" s="1"/>
  <c r="I34" i="11" s="1"/>
  <c r="I29" i="11"/>
  <c r="I28" i="11"/>
  <c r="H29" i="11"/>
  <c r="H30" i="11"/>
  <c r="H31" i="11"/>
  <c r="H32" i="11"/>
  <c r="H33" i="11"/>
  <c r="H34" i="11"/>
  <c r="H28" i="11"/>
  <c r="G28" i="11" a="1"/>
  <c r="G28" i="11" s="1"/>
  <c r="F28" i="11"/>
  <c r="E23" i="11"/>
  <c r="C28" i="11"/>
  <c r="D21" i="11"/>
  <c r="D20" i="11"/>
  <c r="E18" i="11"/>
  <c r="E17" i="11"/>
  <c r="F29" i="11"/>
  <c r="F30" i="11"/>
  <c r="F31" i="11"/>
  <c r="F32" i="11"/>
  <c r="F33" i="11"/>
  <c r="F34" i="11"/>
  <c r="C29" i="11"/>
  <c r="C30" i="11" s="1"/>
  <c r="C31" i="11" s="1"/>
  <c r="C32" i="11" s="1"/>
  <c r="C33" i="11" s="1"/>
  <c r="C34" i="11" s="1"/>
  <c r="C59" i="10"/>
  <c r="K28" i="4"/>
  <c r="K29" i="4" s="1"/>
  <c r="K30" i="4" s="1"/>
  <c r="K31" i="4" s="1"/>
  <c r="K27" i="4"/>
  <c r="K26" i="4"/>
  <c r="J28" i="4"/>
  <c r="J29" i="4"/>
  <c r="J30" i="4"/>
  <c r="J31" i="4"/>
  <c r="J27" i="4"/>
  <c r="J26" i="4"/>
  <c r="I27" i="4"/>
  <c r="I28" i="4"/>
  <c r="I29" i="4"/>
  <c r="I30" i="4"/>
  <c r="I31" i="4"/>
  <c r="I26" i="4"/>
  <c r="H26" i="4" a="1"/>
  <c r="H26" i="4" s="1"/>
  <c r="G27" i="4"/>
  <c r="G28" i="4"/>
  <c r="G29" i="4"/>
  <c r="G30" i="4"/>
  <c r="G31" i="4"/>
  <c r="G26" i="4"/>
  <c r="D27" i="4"/>
  <c r="D28" i="4" s="1"/>
  <c r="D29" i="4" s="1"/>
  <c r="D30" i="4" s="1"/>
  <c r="D31" i="4" s="1"/>
  <c r="D26" i="4"/>
  <c r="D21" i="4"/>
  <c r="E18" i="4"/>
  <c r="E17" i="4"/>
  <c r="F15" i="4"/>
  <c r="F13" i="4"/>
  <c r="F22" i="7"/>
  <c r="F23" i="7"/>
  <c r="F24" i="7" s="1"/>
  <c r="F21" i="7"/>
  <c r="F20" i="7"/>
  <c r="E22" i="7"/>
  <c r="E23" i="7"/>
  <c r="E24" i="7" s="1"/>
  <c r="E21" i="7"/>
  <c r="E20" i="7"/>
  <c r="C25" i="7"/>
  <c r="D25" i="7"/>
  <c r="D21" i="7"/>
  <c r="D22" i="7"/>
  <c r="D23" i="7"/>
  <c r="D24" i="7"/>
  <c r="D20" i="7"/>
  <c r="E16" i="7"/>
  <c r="C21" i="7"/>
  <c r="C22" i="7"/>
  <c r="C23" i="7"/>
  <c r="C24" i="7"/>
  <c r="C20" i="7"/>
  <c r="H35" i="10"/>
  <c r="J30" i="10"/>
  <c r="J31" i="10" s="1"/>
  <c r="J32" i="10" s="1"/>
  <c r="J33" i="10" s="1"/>
  <c r="J34" i="10" s="1"/>
  <c r="J29" i="10"/>
  <c r="J28" i="10"/>
  <c r="I30" i="10"/>
  <c r="I31" i="10"/>
  <c r="I32" i="10" s="1"/>
  <c r="I33" i="10" s="1"/>
  <c r="I34" i="10" s="1"/>
  <c r="I29" i="10"/>
  <c r="I28" i="10"/>
  <c r="H29" i="10"/>
  <c r="H30" i="10"/>
  <c r="H31" i="10"/>
  <c r="H32" i="10"/>
  <c r="H33" i="10"/>
  <c r="H34" i="10"/>
  <c r="H28" i="10"/>
  <c r="G35" i="10"/>
  <c r="G28" i="10" a="1"/>
  <c r="G28" i="10"/>
  <c r="G29" i="10"/>
  <c r="G30" i="10"/>
  <c r="G31" i="10"/>
  <c r="G32" i="10"/>
  <c r="G33" i="10"/>
  <c r="G34" i="10"/>
  <c r="F32" i="10"/>
  <c r="F33" i="10"/>
  <c r="F34" i="10"/>
  <c r="F29" i="10"/>
  <c r="F30" i="10"/>
  <c r="F31" i="10"/>
  <c r="C29" i="10"/>
  <c r="C30" i="10"/>
  <c r="C31" i="10"/>
  <c r="C32" i="10" s="1"/>
  <c r="C33" i="10" s="1"/>
  <c r="C34" i="10" s="1"/>
  <c r="C35" i="10" s="1"/>
  <c r="C25" i="10"/>
  <c r="D22" i="10"/>
  <c r="D21" i="10"/>
  <c r="C19" i="10"/>
  <c r="E16" i="10"/>
  <c r="G19" i="13"/>
  <c r="G20" i="13"/>
  <c r="G21" i="13"/>
  <c r="G22" i="13"/>
  <c r="G18" i="13"/>
  <c r="G17" i="13"/>
  <c r="F19" i="13"/>
  <c r="F20" i="13"/>
  <c r="F21" i="13"/>
  <c r="F22" i="13"/>
  <c r="F18" i="13"/>
  <c r="F17" i="13"/>
  <c r="E23" i="13"/>
  <c r="E18" i="13"/>
  <c r="E19" i="13"/>
  <c r="E20" i="13"/>
  <c r="E21" i="13"/>
  <c r="E22" i="13"/>
  <c r="E17" i="13"/>
  <c r="D23" i="13"/>
  <c r="D18" i="13"/>
  <c r="D19" i="13"/>
  <c r="D20" i="13"/>
  <c r="D21" i="13"/>
  <c r="D22" i="13"/>
  <c r="D17" i="13"/>
  <c r="E10" i="13"/>
  <c r="H68" i="12"/>
  <c r="H67" i="12"/>
  <c r="H63" i="12"/>
  <c r="G65" i="12"/>
  <c r="G64" i="12"/>
  <c r="F37" i="8" l="1"/>
  <c r="F34" i="8"/>
  <c r="F33" i="8"/>
  <c r="F36" i="8"/>
  <c r="F35" i="8"/>
  <c r="F32" i="8"/>
  <c r="G32" i="14"/>
  <c r="G28" i="14"/>
  <c r="G33" i="14"/>
  <c r="G31" i="14"/>
  <c r="G30" i="14"/>
  <c r="G29" i="14"/>
  <c r="G27" i="14"/>
  <c r="G29" i="11"/>
  <c r="G34" i="11"/>
  <c r="G33" i="11"/>
  <c r="G32" i="11"/>
  <c r="G31" i="11"/>
  <c r="G30" i="11"/>
  <c r="H30" i="4"/>
  <c r="H28" i="4"/>
  <c r="H27" i="4"/>
  <c r="H31" i="4"/>
  <c r="H29" i="4"/>
  <c r="C58" i="12" l="1"/>
  <c r="C54" i="12"/>
  <c r="D50" i="12"/>
  <c r="F22" i="12"/>
  <c r="D23" i="12"/>
  <c r="E23" i="12" s="1"/>
  <c r="D24" i="12"/>
  <c r="E24" i="12" s="1"/>
  <c r="D25" i="12"/>
  <c r="E25" i="12" s="1"/>
  <c r="D26" i="12"/>
  <c r="E26" i="12" s="1"/>
  <c r="D27" i="12"/>
  <c r="E27" i="12" s="1"/>
  <c r="D28" i="12"/>
  <c r="E28" i="12" s="1"/>
  <c r="D22" i="12"/>
  <c r="E22" i="12" s="1"/>
  <c r="G22" i="12" s="1"/>
  <c r="E18" i="12"/>
  <c r="H23" i="5"/>
  <c r="H24" i="5" s="1"/>
  <c r="H25" i="5" s="1"/>
  <c r="H26" i="5" s="1"/>
  <c r="H27" i="5" s="1"/>
  <c r="H22" i="5"/>
  <c r="H21" i="5"/>
  <c r="G27" i="5"/>
  <c r="G23" i="5"/>
  <c r="G24" i="5"/>
  <c r="G25" i="5"/>
  <c r="G26" i="5"/>
  <c r="G22" i="5"/>
  <c r="G21" i="5"/>
  <c r="F22" i="5"/>
  <c r="F23" i="5"/>
  <c r="F24" i="5"/>
  <c r="F25" i="5"/>
  <c r="F26" i="5"/>
  <c r="F27" i="5"/>
  <c r="F21" i="5"/>
  <c r="E14" i="5"/>
  <c r="E28" i="5"/>
  <c r="E22" i="5"/>
  <c r="E23" i="5"/>
  <c r="E24" i="5"/>
  <c r="E25" i="5"/>
  <c r="E26" i="5"/>
  <c r="E27" i="5"/>
  <c r="E21" i="5"/>
  <c r="F23" i="12" l="1"/>
  <c r="F24" i="12" s="1"/>
  <c r="F25" i="12" s="1"/>
  <c r="F26" i="12" s="1"/>
  <c r="F27" i="12" s="1"/>
  <c r="F28" i="12" s="1"/>
  <c r="G23" i="12"/>
  <c r="G24" i="12" s="1"/>
  <c r="G25" i="12" s="1"/>
  <c r="G26" i="12" s="1"/>
  <c r="G27" i="12" s="1"/>
  <c r="G28" i="12" s="1"/>
  <c r="D29" i="12"/>
  <c r="F22" i="1"/>
  <c r="F19" i="1"/>
  <c r="F20" i="1"/>
  <c r="F21" i="1"/>
  <c r="F18" i="1"/>
  <c r="E22" i="1"/>
  <c r="D24" i="1"/>
  <c r="E19" i="1"/>
  <c r="E20" i="1"/>
  <c r="E21" i="1"/>
  <c r="E18" i="1"/>
</calcChain>
</file>

<file path=xl/sharedStrings.xml><?xml version="1.0" encoding="utf-8"?>
<sst xmlns="http://schemas.openxmlformats.org/spreadsheetml/2006/main" count="416" uniqueCount="159">
  <si>
    <t>AMOSTRA</t>
  </si>
  <si>
    <t>S</t>
  </si>
  <si>
    <t>J</t>
  </si>
  <si>
    <t>R</t>
  </si>
  <si>
    <t>T</t>
  </si>
  <si>
    <t>Amostra</t>
  </si>
  <si>
    <t>1.1.</t>
  </si>
  <si>
    <t>A variável em estudo é a marca de queijo preferida pelos clientes de um restaurante.</t>
  </si>
  <si>
    <t>É uma variável qualitativa.</t>
  </si>
  <si>
    <t>1.2.</t>
  </si>
  <si>
    <t>TABELA DE FREQUÊNCIAS</t>
  </si>
  <si>
    <t>xi</t>
  </si>
  <si>
    <t>ni</t>
  </si>
  <si>
    <t>fi</t>
  </si>
  <si>
    <t>dimensão da amostra</t>
  </si>
  <si>
    <t>n=</t>
  </si>
  <si>
    <t>Total</t>
  </si>
  <si>
    <t>1.3.</t>
  </si>
  <si>
    <t>6 clientes preferem o queijo Rabaçal.</t>
  </si>
  <si>
    <t>1.4.</t>
  </si>
  <si>
    <t>12,5% dos clientes preferem o queijo Transmontano.</t>
  </si>
  <si>
    <t>1.5.</t>
  </si>
  <si>
    <t>Gráfico de barras</t>
  </si>
  <si>
    <t>Gráfico circular</t>
  </si>
  <si>
    <t>2.1.</t>
  </si>
  <si>
    <t>A variável em estudo é o número de cafés bebidos num dia pelos alunos da ESTGA.</t>
  </si>
  <si>
    <t>É uma variável quantitativa discreta.</t>
  </si>
  <si>
    <t>2.2.</t>
  </si>
  <si>
    <t>Ni</t>
  </si>
  <si>
    <t>Fi</t>
  </si>
  <si>
    <t>total</t>
  </si>
  <si>
    <t>tamanho da amostra</t>
  </si>
  <si>
    <t>2.3.</t>
  </si>
  <si>
    <t xml:space="preserve">4.1. </t>
  </si>
  <si>
    <t>Variável em estudo: número de peças de fruta consumidas diariamente</t>
  </si>
  <si>
    <t>Variável quantitativa discreta</t>
  </si>
  <si>
    <t>4.2.</t>
  </si>
  <si>
    <t>Tabela de frequências</t>
  </si>
  <si>
    <t>4.3</t>
  </si>
  <si>
    <t>Gráfico  circular</t>
  </si>
  <si>
    <t>Medidas de localização</t>
  </si>
  <si>
    <t>média</t>
  </si>
  <si>
    <t>O número médio de peças de fruta consumido diariamente é aproximadamente 2,9.</t>
  </si>
  <si>
    <t>moda</t>
  </si>
  <si>
    <t>Os valores mais frequentes são o 2 e 3 (bimodal)</t>
  </si>
  <si>
    <t>(está incorreto porque existem 2 modas)</t>
  </si>
  <si>
    <t>mediana</t>
  </si>
  <si>
    <t>Do grupo dos 50% que consomem menos peças de fruta, no máximo consomem 3 peças de fruta.</t>
  </si>
  <si>
    <t>Coluna1</t>
  </si>
  <si>
    <t>Média</t>
  </si>
  <si>
    <t>Erro-padrão</t>
  </si>
  <si>
    <t>Mediana</t>
  </si>
  <si>
    <t>Moda</t>
  </si>
  <si>
    <t>Desvio-padrão</t>
  </si>
  <si>
    <t>Variância da amostra</t>
  </si>
  <si>
    <t>Curtose</t>
  </si>
  <si>
    <t>Assimetria</t>
  </si>
  <si>
    <t>Intervalo</t>
  </si>
  <si>
    <t>Mínimo</t>
  </si>
  <si>
    <t>Máximo</t>
  </si>
  <si>
    <t>Soma</t>
  </si>
  <si>
    <t>Contagem</t>
  </si>
  <si>
    <t>Medidas de dispersão</t>
  </si>
  <si>
    <t>Amplitude</t>
  </si>
  <si>
    <t>variância</t>
  </si>
  <si>
    <t>desvio padrão</t>
  </si>
  <si>
    <r>
      <t xml:space="preserve">4.4.1. </t>
    </r>
    <r>
      <rPr>
        <sz val="12"/>
        <color rgb="FF000000"/>
        <rFont val="Aptos Narrow"/>
        <family val="2"/>
        <scheme val="minor"/>
      </rPr>
      <t>O número médio de peças de fruta consumido diariamente é 2,9.</t>
    </r>
  </si>
  <si>
    <r>
      <t>4.4.2.</t>
    </r>
    <r>
      <rPr>
        <sz val="12"/>
        <color rgb="FF000000"/>
        <rFont val="Aptos Narrow"/>
        <family val="2"/>
        <scheme val="minor"/>
      </rPr>
      <t xml:space="preserve"> O valor do desvio padrão, com aproximação às centésimas é  2,01.</t>
    </r>
  </si>
  <si>
    <r>
      <t xml:space="preserve">4.4.3. </t>
    </r>
    <r>
      <rPr>
        <sz val="12"/>
        <color rgb="FF000000"/>
        <rFont val="Aptos Narrow"/>
        <family val="2"/>
        <scheme val="minor"/>
      </rPr>
      <t>O número máximo de peças de fruta consumido diariamente pelo grupo dos 50% que menos peças de fruta consome é 3 .</t>
    </r>
  </si>
  <si>
    <t>10.1.</t>
  </si>
  <si>
    <t>Variável em estudo: número de linhas de código adicionadas por 40 programadores</t>
  </si>
  <si>
    <t xml:space="preserve">10.2. </t>
  </si>
  <si>
    <t>Média:</t>
  </si>
  <si>
    <t>Desvio padrão:</t>
  </si>
  <si>
    <t xml:space="preserve">10.3. </t>
  </si>
  <si>
    <t>42,5% dos programadores acrescentou no máximo 25 linhas.</t>
  </si>
  <si>
    <t>número de classes - Regra de Sturges</t>
  </si>
  <si>
    <t>amplitude de cada classe:</t>
  </si>
  <si>
    <t>limites das classes</t>
  </si>
  <si>
    <t>Classes</t>
  </si>
  <si>
    <t xml:space="preserve">Total </t>
  </si>
  <si>
    <t xml:space="preserve">7.2. </t>
  </si>
  <si>
    <t>2.4.</t>
  </si>
  <si>
    <t>24 alunos bebe um café por dia.</t>
  </si>
  <si>
    <t>59 alunos bebem no máximo 2 cafés por dia.</t>
  </si>
  <si>
    <t xml:space="preserve">2.5. </t>
  </si>
  <si>
    <t>15% dos alunos bebem mais do que 4 cafés por dia.</t>
  </si>
  <si>
    <t>2.6.</t>
  </si>
  <si>
    <t>2.7.</t>
  </si>
  <si>
    <t>2.7.1</t>
  </si>
  <si>
    <t>2.7.2</t>
  </si>
  <si>
    <t>3.1.</t>
  </si>
  <si>
    <t>Variável em estudo: número de livros lidos pelos alunos da ESTGA nas últimas férias de verão.</t>
  </si>
  <si>
    <t>3.2.</t>
  </si>
  <si>
    <t>3.3.</t>
  </si>
  <si>
    <t>3.4.</t>
  </si>
  <si>
    <t>3.5.</t>
  </si>
  <si>
    <t>amplitude</t>
  </si>
  <si>
    <t>63,75% Dos alunos leem no máximo 1 livro.</t>
  </si>
  <si>
    <t>3.6.</t>
  </si>
  <si>
    <t>7.3.</t>
  </si>
  <si>
    <t xml:space="preserve">5.1. </t>
  </si>
  <si>
    <t>Variável em estudo: Comprimento dos parafusos</t>
  </si>
  <si>
    <t>Variável quantitativa contínua</t>
  </si>
  <si>
    <t>5.2.</t>
  </si>
  <si>
    <t>dimensão da amostra:</t>
  </si>
  <si>
    <t>n.º de classes</t>
  </si>
  <si>
    <t>amplitude de cada classe</t>
  </si>
  <si>
    <t>5.3.</t>
  </si>
  <si>
    <r>
      <t xml:space="preserve">7.3.1 </t>
    </r>
    <r>
      <rPr>
        <sz val="12"/>
        <color rgb="FF000000"/>
        <rFont val="Aptos Narrow"/>
        <family val="2"/>
        <scheme val="minor"/>
      </rPr>
      <t>O tempo de chegada entre duas pessoas consecutivas a uma caixa de multibanco varia entre 0,16 e 7,99.</t>
    </r>
  </si>
  <si>
    <r>
      <t xml:space="preserve">7.3.2 </t>
    </r>
    <r>
      <rPr>
        <sz val="12"/>
        <color rgb="FF000000"/>
        <rFont val="Aptos Narrow"/>
        <family val="2"/>
        <scheme val="minor"/>
      </rPr>
      <t>O tempo médio de chegada é 3,13, sendo o mais frequente 2,71.</t>
    </r>
  </si>
  <si>
    <r>
      <t>7.3.3</t>
    </r>
    <r>
      <rPr>
        <sz val="12"/>
        <color rgb="FF000000"/>
        <rFont val="Aptos Narrow"/>
        <family val="2"/>
        <scheme val="minor"/>
      </rPr>
      <t xml:space="preserve"> A amplitude dos valores da amostra é 7,83 e o desvio padrão é 2,01.</t>
    </r>
  </si>
  <si>
    <r>
      <t>7.3.4</t>
    </r>
    <r>
      <rPr>
        <sz val="12"/>
        <color rgb="FF000000"/>
        <rFont val="Aptos Narrow"/>
        <family val="2"/>
        <scheme val="minor"/>
      </rPr>
      <t xml:space="preserve"> A percentagem de tempos inferiores a 2 minutos é de 30%.</t>
    </r>
  </si>
  <si>
    <t>Variável em estudo: alturas dos alunos da ESTGA</t>
  </si>
  <si>
    <t>amplitude da classe</t>
  </si>
  <si>
    <t>9.2.</t>
  </si>
  <si>
    <t>9.3.</t>
  </si>
  <si>
    <r>
      <t xml:space="preserve">9.3.1 </t>
    </r>
    <r>
      <rPr>
        <sz val="12"/>
        <color rgb="FF000000"/>
        <rFont val="Aptos Narrow"/>
        <family val="2"/>
        <scheme val="minor"/>
      </rPr>
      <t>A altura dos alunos varia entre 1,66 e 1,99.</t>
    </r>
  </si>
  <si>
    <r>
      <t xml:space="preserve">9.3.2 </t>
    </r>
    <r>
      <rPr>
        <sz val="12"/>
        <color rgb="FF000000"/>
        <rFont val="Aptos Narrow"/>
        <family val="2"/>
        <scheme val="minor"/>
      </rPr>
      <t>A altura média dos alunos é 1,82, sendo a mais frequente 1,80.</t>
    </r>
  </si>
  <si>
    <r>
      <t>9.3.3</t>
    </r>
    <r>
      <rPr>
        <sz val="12"/>
        <color rgb="FF000000"/>
        <rFont val="Aptos Narrow"/>
        <family val="2"/>
        <scheme val="minor"/>
      </rPr>
      <t xml:space="preserve"> A amplitude dos valores da amostra é 0,33 e o desvio padrão é 0,065.</t>
    </r>
  </si>
  <si>
    <r>
      <t>9.3.4</t>
    </r>
    <r>
      <rPr>
        <sz val="12"/>
        <color rgb="FF000000"/>
        <rFont val="Aptos Narrow"/>
        <family val="2"/>
        <scheme val="minor"/>
      </rPr>
      <t xml:space="preserve"> A altura mínima de um aluno que pertence ao grupo dos 50% mais altos é 1,82.</t>
    </r>
  </si>
  <si>
    <t>11.2.</t>
  </si>
  <si>
    <t>11.3.</t>
  </si>
  <si>
    <r>
      <t xml:space="preserve">11.3.1 </t>
    </r>
    <r>
      <rPr>
        <sz val="12"/>
        <color rgb="FF000000"/>
        <rFont val="Aptos Narrow"/>
        <family val="2"/>
        <scheme val="minor"/>
      </rPr>
      <t>O tempo de resposta do sistema de defesa  varia entre 103 e 198, sendo a amplitude dos valores da amostra 95.</t>
    </r>
  </si>
  <si>
    <r>
      <t xml:space="preserve">11.3.2 </t>
    </r>
    <r>
      <rPr>
        <sz val="12"/>
        <color rgb="FF000000"/>
        <rFont val="Aptos Narrow"/>
        <family val="2"/>
        <scheme val="minor"/>
      </rPr>
      <t>O tempo médio de resposta é 150,06, sendo o mais frequente 167.</t>
    </r>
  </si>
  <si>
    <r>
      <t>11.3.3</t>
    </r>
    <r>
      <rPr>
        <sz val="12"/>
        <color rgb="FF000000"/>
        <rFont val="Aptos Narrow"/>
        <family val="2"/>
        <scheme val="minor"/>
      </rPr>
      <t xml:space="preserve">  O tempo máximo de resposta que pertence ao grupo dos 50% mais rápidos é 151,5.</t>
    </r>
  </si>
  <si>
    <r>
      <t>11.3.4</t>
    </r>
    <r>
      <rPr>
        <sz val="12"/>
        <color rgb="FF000000"/>
        <rFont val="Aptos Narrow"/>
        <family val="2"/>
        <scheme val="minor"/>
      </rPr>
      <t>. A variância e o desvio padrão amostral são respetivamente, 647,16 e  25,44.</t>
    </r>
  </si>
  <si>
    <r>
      <t>11.3.5</t>
    </r>
    <r>
      <rPr>
        <sz val="12"/>
        <color rgb="FF000000"/>
        <rFont val="Aptos Narrow"/>
        <family val="2"/>
        <scheme val="minor"/>
      </rPr>
      <t xml:space="preserve"> A percentagem de tempos inferiores a 140 mlissegundos  é de 35% (aprox.).</t>
    </r>
  </si>
  <si>
    <t>6.1.</t>
  </si>
  <si>
    <t>Variável em estudo: tempo (em minutos) que os alunos da ESTGA demoram no percurso casa-escola</t>
  </si>
  <si>
    <t>6.2.</t>
  </si>
  <si>
    <t>máximo</t>
  </si>
  <si>
    <t>mínimo</t>
  </si>
  <si>
    <t>8.1.</t>
  </si>
  <si>
    <t>A variável em estudo é o número de irmãos dos alunos da ESTGA.</t>
  </si>
  <si>
    <t>Variável quantitativa discreta.</t>
  </si>
  <si>
    <t>8.2.</t>
  </si>
  <si>
    <t>8.3.</t>
  </si>
  <si>
    <t>8.4.</t>
  </si>
  <si>
    <r>
      <t>8.4.1</t>
    </r>
    <r>
      <rPr>
        <sz val="12"/>
        <color rgb="FF000000"/>
        <rFont val="Aptos Narrow"/>
        <family val="2"/>
        <scheme val="minor"/>
      </rPr>
      <t xml:space="preserve"> a média é 1,2, a mediana 1 e a moda 1.</t>
    </r>
  </si>
  <si>
    <t>O número de irmãos mais frequente é 1.</t>
  </si>
  <si>
    <t>O grupo dos 50% dos alunos com menor número de irmãos tem no máximo 1 irmão.</t>
  </si>
  <si>
    <r>
      <t>8.4.2</t>
    </r>
    <r>
      <rPr>
        <sz val="12"/>
        <color rgb="FF000000"/>
        <rFont val="Aptos Narrow"/>
        <family val="2"/>
        <scheme val="minor"/>
      </rPr>
      <t xml:space="preserve"> a amplitude da amostra é 3, variância 0,966 e o desvio padrão 0,983.</t>
    </r>
  </si>
  <si>
    <r>
      <t xml:space="preserve">8.4.3 </t>
    </r>
    <r>
      <rPr>
        <sz val="12"/>
        <color rgb="FF000000"/>
        <rFont val="Aptos Narrow"/>
        <family val="2"/>
        <scheme val="minor"/>
      </rPr>
      <t>64% dos alunos  têm menos de 2 irmãos.</t>
    </r>
  </si>
  <si>
    <t>O número médio de irmãos é 1,2.</t>
  </si>
  <si>
    <t>A variável em estudo é o tempo (em minutos) dedicado pelos alunos da ESTGA ao estudo semanal de MQI.</t>
  </si>
  <si>
    <t>Variável quantitativa contínua.</t>
  </si>
  <si>
    <t>12.1.</t>
  </si>
  <si>
    <t>n.º de classes - Regra e Sturges</t>
  </si>
  <si>
    <t>amplitude de classe</t>
  </si>
  <si>
    <t>12.2.</t>
  </si>
  <si>
    <r>
      <t>12.3.</t>
    </r>
    <r>
      <rPr>
        <sz val="12"/>
        <color rgb="FF000000"/>
        <rFont val="Aptos Narrow"/>
        <family val="2"/>
        <scheme val="minor"/>
      </rPr>
      <t xml:space="preserve">  </t>
    </r>
  </si>
  <si>
    <r>
      <t xml:space="preserve">12.3.1 </t>
    </r>
    <r>
      <rPr>
        <sz val="12"/>
        <color rgb="FF000000"/>
        <rFont val="Aptos Narrow"/>
        <family val="2"/>
        <scheme val="minor"/>
      </rPr>
      <t>O tempo médio de estudo semanal é 113,1.</t>
    </r>
  </si>
  <si>
    <r>
      <t>12.3.2</t>
    </r>
    <r>
      <rPr>
        <sz val="12"/>
        <color rgb="FF000000"/>
        <rFont val="Aptos Narrow"/>
        <family val="2"/>
        <scheme val="minor"/>
      </rPr>
      <t xml:space="preserve">  O tempo mínimo de estudo semanal que pertence ao grupo dos 50% que mais tempo dedica ao estudo de MQI é 113,5.</t>
    </r>
  </si>
  <si>
    <r>
      <t>12.3.3</t>
    </r>
    <r>
      <rPr>
        <sz val="12"/>
        <color rgb="FF000000"/>
        <rFont val="Aptos Narrow"/>
        <family val="2"/>
        <scheme val="minor"/>
      </rPr>
      <t>. A variância e o desvio padrão amostral são respetivamente, 1909,08 e 43,693.</t>
    </r>
  </si>
  <si>
    <t>3,2 horas</t>
  </si>
  <si>
    <t>minutos</t>
  </si>
  <si>
    <t>n.º de alunos que trabalha menos de 192</t>
  </si>
  <si>
    <r>
      <t xml:space="preserve">12.4. </t>
    </r>
    <r>
      <rPr>
        <sz val="12"/>
        <color rgb="FF000000"/>
        <rFont val="Aptos Narrow"/>
        <family val="2"/>
        <scheme val="minor"/>
      </rPr>
      <t>99% dos alunos trabalham menos do que deveriam.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</si>
</sst>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1" applyFill="1" applyBorder="1"/>
    <xf numFmtId="164" fontId="1" fillId="0" borderId="0" xfId="1" applyNumberFormat="1" applyFill="1" applyBorder="1"/>
    <xf numFmtId="0" fontId="0" fillId="0" borderId="0" xfId="1" applyFont="1" applyFill="1" applyBorder="1"/>
    <xf numFmtId="9" fontId="0" fillId="0" borderId="0" xfId="2" applyFont="1"/>
    <xf numFmtId="164" fontId="0" fillId="0" borderId="0" xfId="2" applyNumberFormat="1" applyFont="1"/>
    <xf numFmtId="0" fontId="2" fillId="0" borderId="0" xfId="0" applyFont="1" applyAlignment="1">
      <alignment horizontal="center"/>
    </xf>
    <xf numFmtId="9" fontId="0" fillId="0" borderId="0" xfId="0" applyNumberFormat="1"/>
    <xf numFmtId="0" fontId="2" fillId="0" borderId="0" xfId="1" applyFont="1" applyFill="1" applyBorder="1" applyAlignment="1">
      <alignment horizontal="center"/>
    </xf>
    <xf numFmtId="0" fontId="0" fillId="0" borderId="0" xfId="1" applyFont="1" applyFill="1" applyBorder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Continuous"/>
    </xf>
    <xf numFmtId="0" fontId="0" fillId="0" borderId="0" xfId="0" applyProtection="1">
      <protection locked="0"/>
    </xf>
    <xf numFmtId="164" fontId="0" fillId="0" borderId="0" xfId="2" applyNumberFormat="1" applyFont="1" applyFill="1"/>
    <xf numFmtId="9" fontId="0" fillId="0" borderId="0" xfId="2" applyFont="1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2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1" applyFill="1" applyBorder="1" applyAlignment="1">
      <alignment horizontal="center" vertical="center"/>
    </xf>
    <xf numFmtId="0" fontId="0" fillId="0" borderId="1" xfId="0" applyBorder="1"/>
    <xf numFmtId="164" fontId="0" fillId="0" borderId="1" xfId="2" applyNumberFormat="1" applyFont="1" applyBorder="1"/>
    <xf numFmtId="0" fontId="2" fillId="3" borderId="1" xfId="0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 vertical="center"/>
    </xf>
    <xf numFmtId="1" fontId="1" fillId="3" borderId="1" xfId="2" applyNumberFormat="1" applyFill="1" applyBorder="1"/>
    <xf numFmtId="9" fontId="0" fillId="3" borderId="1" xfId="0" applyNumberFormat="1" applyFill="1" applyBorder="1"/>
    <xf numFmtId="17" fontId="0" fillId="0" borderId="0" xfId="0" applyNumberFormat="1"/>
    <xf numFmtId="1" fontId="0" fillId="0" borderId="0" xfId="2" applyNumberFormat="1" applyFont="1"/>
    <xf numFmtId="1" fontId="0" fillId="0" borderId="0" xfId="0" applyNumberFormat="1"/>
    <xf numFmtId="164" fontId="0" fillId="0" borderId="0" xfId="0" applyNumberFormat="1"/>
    <xf numFmtId="0" fontId="0" fillId="0" borderId="3" xfId="0" applyBorder="1"/>
    <xf numFmtId="0" fontId="3" fillId="0" borderId="4" xfId="0" applyFont="1" applyBorder="1" applyAlignment="1">
      <alignment horizontal="centerContinuous"/>
    </xf>
    <xf numFmtId="0" fontId="5" fillId="0" borderId="0" xfId="0" applyFont="1" applyAlignment="1">
      <alignment horizontal="left" vertical="center"/>
    </xf>
    <xf numFmtId="10" fontId="0" fillId="0" borderId="0" xfId="2" applyNumberFormat="1" applyFont="1"/>
    <xf numFmtId="10" fontId="0" fillId="0" borderId="0" xfId="0" applyNumberFormat="1"/>
    <xf numFmtId="0" fontId="2" fillId="3" borderId="0" xfId="0" applyFont="1" applyFill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7" xfId="0" applyBorder="1" applyAlignment="1">
      <alignment horizontal="center" vertical="center"/>
    </xf>
    <xf numFmtId="164" fontId="0" fillId="0" borderId="0" xfId="2" applyNumberFormat="1" applyFon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3" xfId="2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4" borderId="0" xfId="0" applyFill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9" fontId="0" fillId="0" borderId="10" xfId="0" applyNumberFormat="1" applyBorder="1"/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10" fontId="0" fillId="0" borderId="0" xfId="2" applyNumberFormat="1" applyFont="1" applyBorder="1"/>
    <xf numFmtId="10" fontId="0" fillId="0" borderId="8" xfId="0" applyNumberFormat="1" applyBorder="1"/>
    <xf numFmtId="1" fontId="0" fillId="0" borderId="0" xfId="2" applyNumberFormat="1" applyFont="1" applyBorder="1"/>
    <xf numFmtId="10" fontId="0" fillId="0" borderId="3" xfId="2" applyNumberFormat="1" applyFont="1" applyBorder="1"/>
    <xf numFmtId="1" fontId="0" fillId="0" borderId="3" xfId="2" applyNumberFormat="1" applyFont="1" applyBorder="1"/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9" fontId="2" fillId="3" borderId="2" xfId="2" applyFont="1" applyFill="1" applyBorder="1" applyAlignment="1">
      <alignment horizontal="center"/>
    </xf>
    <xf numFmtId="9" fontId="2" fillId="3" borderId="2" xfId="0" applyNumberFormat="1" applyFont="1" applyFill="1" applyBorder="1" applyAlignment="1">
      <alignment horizontal="center"/>
    </xf>
    <xf numFmtId="1" fontId="0" fillId="0" borderId="0" xfId="2" applyNumberFormat="1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8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9" fontId="0" fillId="0" borderId="3" xfId="2" applyFont="1" applyBorder="1" applyAlignment="1">
      <alignment horizontal="center"/>
    </xf>
    <xf numFmtId="0" fontId="4" fillId="0" borderId="0" xfId="0" applyFont="1"/>
    <xf numFmtId="0" fontId="0" fillId="0" borderId="0" xfId="0" applyAlignment="1">
      <alignment vertical="center"/>
    </xf>
    <xf numFmtId="0" fontId="0" fillId="3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2" xfId="2" applyNumberFormat="1" applyFont="1" applyBorder="1" applyAlignment="1">
      <alignment horizontal="center"/>
    </xf>
    <xf numFmtId="164" fontId="0" fillId="0" borderId="13" xfId="2" applyNumberFormat="1" applyFont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20% - Cor1" xfId="1" builtinId="30"/>
    <cellStyle name="Normal" xfId="0" builtinId="0"/>
    <cellStyle name="Pe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Marca</a:t>
            </a:r>
            <a:r>
              <a:rPr lang="pt-PT" baseline="0"/>
              <a:t> de queijo preferida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Folha1!$D$18:$D$21</c:f>
              <c:strCache>
                <c:ptCount val="4"/>
                <c:pt idx="0">
                  <c:v>S</c:v>
                </c:pt>
                <c:pt idx="1">
                  <c:v>J</c:v>
                </c:pt>
                <c:pt idx="2">
                  <c:v>R</c:v>
                </c:pt>
                <c:pt idx="3">
                  <c:v>T</c:v>
                </c:pt>
              </c:strCache>
            </c:strRef>
          </c:cat>
          <c:val>
            <c:numRef>
              <c:f>Folha1!$E$18:$E$21</c:f>
              <c:numCache>
                <c:formatCode>General</c:formatCode>
                <c:ptCount val="4"/>
                <c:pt idx="0">
                  <c:v>9</c:v>
                </c:pt>
                <c:pt idx="1">
                  <c:v>6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9F-44C1-9230-20CBB6E40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0688191"/>
        <c:axId val="830680991"/>
      </c:barChart>
      <c:catAx>
        <c:axId val="830688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Marca</a:t>
                </a:r>
                <a:r>
                  <a:rPr lang="pt-PT" baseline="0"/>
                  <a:t> de queijo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0680991"/>
        <c:crosses val="autoZero"/>
        <c:auto val="1"/>
        <c:lblAlgn val="ctr"/>
        <c:lblOffset val="100"/>
        <c:noMultiLvlLbl val="0"/>
      </c:catAx>
      <c:valAx>
        <c:axId val="83068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n.º</a:t>
                </a:r>
                <a:r>
                  <a:rPr lang="pt-PT" baseline="0"/>
                  <a:t> de clientes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0688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Marca</a:t>
            </a:r>
            <a:r>
              <a:rPr lang="pt-PT" baseline="0"/>
              <a:t> de queijo preferida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FB-4EBD-967B-2E378A13FC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FB-4EBD-967B-2E378A13FC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FB-4EBD-967B-2E378A13FC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DFB-4EBD-967B-2E378A13FC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Folha1!$D$18:$D$21</c:f>
              <c:strCache>
                <c:ptCount val="4"/>
                <c:pt idx="0">
                  <c:v>S</c:v>
                </c:pt>
                <c:pt idx="1">
                  <c:v>J</c:v>
                </c:pt>
                <c:pt idx="2">
                  <c:v>R</c:v>
                </c:pt>
                <c:pt idx="3">
                  <c:v>T</c:v>
                </c:pt>
              </c:strCache>
            </c:strRef>
          </c:cat>
          <c:val>
            <c:numRef>
              <c:f>Folha1!$F$18:$F$21</c:f>
              <c:numCache>
                <c:formatCode>0.0%</c:formatCode>
                <c:ptCount val="4"/>
                <c:pt idx="0">
                  <c:v>0.375</c:v>
                </c:pt>
                <c:pt idx="1">
                  <c:v>0.25</c:v>
                </c:pt>
                <c:pt idx="2">
                  <c:v>0.25</c:v>
                </c:pt>
                <c:pt idx="3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7-4901-8554-54BA6075D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N.º de cafés bebidos num</a:t>
            </a:r>
            <a:r>
              <a:rPr lang="pt-PT" baseline="0"/>
              <a:t> dia pelos alunos da ESTGA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Folha2!$D$21:$D$27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Folha2!$E$21:$E$27</c:f>
              <c:numCache>
                <c:formatCode>0</c:formatCode>
                <c:ptCount val="7"/>
                <c:pt idx="0">
                  <c:v>13</c:v>
                </c:pt>
                <c:pt idx="1">
                  <c:v>24</c:v>
                </c:pt>
                <c:pt idx="2">
                  <c:v>22</c:v>
                </c:pt>
                <c:pt idx="3">
                  <c:v>14</c:v>
                </c:pt>
                <c:pt idx="4">
                  <c:v>12</c:v>
                </c:pt>
                <c:pt idx="5">
                  <c:v>11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8-4F6A-AD69-13FF82600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4628991"/>
        <c:axId val="1234619391"/>
      </c:barChart>
      <c:catAx>
        <c:axId val="123462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4619391"/>
        <c:crosses val="autoZero"/>
        <c:auto val="1"/>
        <c:lblAlgn val="ctr"/>
        <c:lblOffset val="100"/>
        <c:noMultiLvlLbl val="0"/>
      </c:catAx>
      <c:valAx>
        <c:axId val="123461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462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N.º de cafés bebidos num dia pelos alunos da ESTGA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00-4F5F-8959-F6D5B24E97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00-4F5F-8959-F6D5B24E97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00-4F5F-8959-F6D5B24E97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00-4F5F-8959-F6D5B24E977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500-4F5F-8959-F6D5B24E977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500-4F5F-8959-F6D5B24E977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500-4F5F-8959-F6D5B24E9773}"/>
              </c:ext>
            </c:extLst>
          </c:dPt>
          <c:cat>
            <c:numRef>
              <c:f>Folha2!$D$21:$D$27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Folha2!$F$21:$F$27</c:f>
              <c:numCache>
                <c:formatCode>0%</c:formatCode>
                <c:ptCount val="7"/>
                <c:pt idx="0">
                  <c:v>0.13</c:v>
                </c:pt>
                <c:pt idx="1">
                  <c:v>0.24</c:v>
                </c:pt>
                <c:pt idx="2">
                  <c:v>0.22</c:v>
                </c:pt>
                <c:pt idx="3">
                  <c:v>0.14000000000000001</c:v>
                </c:pt>
                <c:pt idx="4">
                  <c:v>0.12</c:v>
                </c:pt>
                <c:pt idx="5">
                  <c:v>0.11</c:v>
                </c:pt>
                <c:pt idx="6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5-40F5-BDCA-38A589EB2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 N.º de livros lidos pelos alunos da ESTGA nas últimas férias de verão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Folha3!$B$20:$B$24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Folha3!$C$20:$C$24</c:f>
              <c:numCache>
                <c:formatCode>General</c:formatCode>
                <c:ptCount val="5"/>
                <c:pt idx="0">
                  <c:v>21</c:v>
                </c:pt>
                <c:pt idx="1">
                  <c:v>30</c:v>
                </c:pt>
                <c:pt idx="2">
                  <c:v>15</c:v>
                </c:pt>
                <c:pt idx="3">
                  <c:v>8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9-4751-AAD0-98C0FF7999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6874911"/>
        <c:axId val="896871071"/>
      </c:barChart>
      <c:catAx>
        <c:axId val="89687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96871071"/>
        <c:crosses val="autoZero"/>
        <c:auto val="1"/>
        <c:lblAlgn val="ctr"/>
        <c:lblOffset val="100"/>
        <c:noMultiLvlLbl val="0"/>
      </c:catAx>
      <c:valAx>
        <c:axId val="89687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9687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N.º de livros lidos pelos alunos da ESTGA nas últimas férias de verão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D5-46D5-AB4A-DB4E2112E5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D5-46D5-AB4A-DB4E2112E5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D5-46D5-AB4A-DB4E2112E5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D5-46D5-AB4A-DB4E2112E5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D5-46D5-AB4A-DB4E2112E5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Folha3!$B$20:$B$24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Folha3!$D$20:$D$24</c:f>
              <c:numCache>
                <c:formatCode>0.00%</c:formatCode>
                <c:ptCount val="5"/>
                <c:pt idx="0">
                  <c:v>0.26250000000000001</c:v>
                </c:pt>
                <c:pt idx="1">
                  <c:v>0.375</c:v>
                </c:pt>
                <c:pt idx="2">
                  <c:v>0.1875</c:v>
                </c:pt>
                <c:pt idx="3">
                  <c:v>0.1</c:v>
                </c:pt>
                <c:pt idx="4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7-4DC7-9021-BA27015B0BC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N.º de peças de fruta consumidas diariamente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Folha4!$C$22:$C$28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Folha4!$D$22:$D$28</c:f>
              <c:numCache>
                <c:formatCode>General</c:formatCode>
                <c:ptCount val="7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19</c:v>
                </c:pt>
                <c:pt idx="4">
                  <c:v>14</c:v>
                </c:pt>
                <c:pt idx="5">
                  <c:v>15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39-4610-8BD9-95F9DBF6E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7042159"/>
        <c:axId val="1467033039"/>
      </c:barChart>
      <c:catAx>
        <c:axId val="146704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67033039"/>
        <c:crosses val="autoZero"/>
        <c:auto val="1"/>
        <c:lblAlgn val="ctr"/>
        <c:lblOffset val="100"/>
        <c:noMultiLvlLbl val="0"/>
      </c:catAx>
      <c:valAx>
        <c:axId val="146703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67042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n.º de peças de fruta</a:t>
            </a:r>
            <a:r>
              <a:rPr lang="pt-PT" baseline="0"/>
              <a:t> consumidas diariamente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6-4593-BFDA-2F2ED10EEF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6-4593-BFDA-2F2ED10EEF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96-4593-BFDA-2F2ED10EEF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96-4593-BFDA-2F2ED10EEF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096-4593-BFDA-2F2ED10EEF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096-4593-BFDA-2F2ED10EEF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096-4593-BFDA-2F2ED10EEF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Folha4!$C$22:$C$28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Folha4!$E$22:$E$28</c:f>
              <c:numCache>
                <c:formatCode>0.0%</c:formatCode>
                <c:ptCount val="7"/>
                <c:pt idx="0">
                  <c:v>0.14166666666666666</c:v>
                </c:pt>
                <c:pt idx="1">
                  <c:v>0.15</c:v>
                </c:pt>
                <c:pt idx="2">
                  <c:v>0.15833333333333333</c:v>
                </c:pt>
                <c:pt idx="3">
                  <c:v>0.15833333333333333</c:v>
                </c:pt>
                <c:pt idx="4">
                  <c:v>0.11666666666666667</c:v>
                </c:pt>
                <c:pt idx="5">
                  <c:v>0.125</c:v>
                </c:pt>
                <c:pt idx="6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E-4A1E-B6EB-2CD7C36C251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Comprimento dos parafusos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Folha5!$G$26:$G$31</c:f>
              <c:strCache>
                <c:ptCount val="6"/>
                <c:pt idx="0">
                  <c:v>]2,55;2,71]</c:v>
                </c:pt>
                <c:pt idx="1">
                  <c:v>]2,71;2,87]</c:v>
                </c:pt>
                <c:pt idx="2">
                  <c:v>]2,87;3,03]</c:v>
                </c:pt>
                <c:pt idx="3">
                  <c:v>]3,03;3,19]</c:v>
                </c:pt>
                <c:pt idx="4">
                  <c:v>]3,19;3,35]</c:v>
                </c:pt>
                <c:pt idx="5">
                  <c:v>]3,35;3,51]</c:v>
                </c:pt>
              </c:strCache>
            </c:strRef>
          </c:cat>
          <c:val>
            <c:numRef>
              <c:f>Folha5!$I$26:$I$31</c:f>
              <c:numCache>
                <c:formatCode>0%</c:formatCode>
                <c:ptCount val="6"/>
                <c:pt idx="0">
                  <c:v>0.06</c:v>
                </c:pt>
                <c:pt idx="1">
                  <c:v>0.16</c:v>
                </c:pt>
                <c:pt idx="2">
                  <c:v>0.38</c:v>
                </c:pt>
                <c:pt idx="3">
                  <c:v>0.16</c:v>
                </c:pt>
                <c:pt idx="4">
                  <c:v>0.18</c:v>
                </c:pt>
                <c:pt idx="5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A-43CF-9A51-3A794518C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935132079"/>
        <c:axId val="1935132559"/>
      </c:barChart>
      <c:catAx>
        <c:axId val="193513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132559"/>
        <c:crosses val="autoZero"/>
        <c:auto val="1"/>
        <c:lblAlgn val="ctr"/>
        <c:lblOffset val="100"/>
        <c:noMultiLvlLbl val="0"/>
      </c:catAx>
      <c:valAx>
        <c:axId val="193513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13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Tempo entre 2 chegadas consecutivas a um multibanco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ln w="6350">
              <a:solidFill>
                <a:schemeClr val="accen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F3B-4286-8817-35D9BF2D481D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 w="63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3B-4286-8817-35D9BF2D481D}"/>
              </c:ext>
            </c:extLst>
          </c:dPt>
          <c:cat>
            <c:strRef>
              <c:f>Folha7!$F$28:$F$34</c:f>
              <c:strCache>
                <c:ptCount val="7"/>
                <c:pt idx="0">
                  <c:v>]0,15;1,27]</c:v>
                </c:pt>
                <c:pt idx="1">
                  <c:v>]1,27;2,39]</c:v>
                </c:pt>
                <c:pt idx="2">
                  <c:v>]2,39;3,51]</c:v>
                </c:pt>
                <c:pt idx="3">
                  <c:v>]3,51;4,63]</c:v>
                </c:pt>
                <c:pt idx="4">
                  <c:v>]4,63;5,75]</c:v>
                </c:pt>
                <c:pt idx="5">
                  <c:v>]5,75;6,87]</c:v>
                </c:pt>
                <c:pt idx="6">
                  <c:v>]6,87;7,99]</c:v>
                </c:pt>
              </c:strCache>
            </c:strRef>
          </c:cat>
          <c:val>
            <c:numRef>
              <c:f>Folha7!$H$28:$H$34</c:f>
              <c:numCache>
                <c:formatCode>0.0%</c:formatCode>
                <c:ptCount val="7"/>
                <c:pt idx="0">
                  <c:v>0.19166666666666668</c:v>
                </c:pt>
                <c:pt idx="1">
                  <c:v>0.23333333333333334</c:v>
                </c:pt>
                <c:pt idx="2">
                  <c:v>0.21666666666666667</c:v>
                </c:pt>
                <c:pt idx="3">
                  <c:v>0.13333333333333333</c:v>
                </c:pt>
                <c:pt idx="4">
                  <c:v>7.4999999999999997E-2</c:v>
                </c:pt>
                <c:pt idx="5">
                  <c:v>7.4999999999999997E-2</c:v>
                </c:pt>
                <c:pt idx="6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B-4286-8817-35D9BF2D4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234626111"/>
        <c:axId val="1234623231"/>
      </c:barChart>
      <c:catAx>
        <c:axId val="123462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4623231"/>
        <c:crosses val="autoZero"/>
        <c:auto val="1"/>
        <c:lblAlgn val="ctr"/>
        <c:lblOffset val="100"/>
        <c:noMultiLvlLbl val="0"/>
      </c:catAx>
      <c:valAx>
        <c:axId val="123462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462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N.º</a:t>
            </a:r>
            <a:r>
              <a:rPr lang="pt-PT" baseline="0"/>
              <a:t> de irmãos dos alunos da ESTGA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Folha8!$C$23:$C$26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Folha8!$E$23:$E$26</c:f>
              <c:numCache>
                <c:formatCode>0%</c:formatCode>
                <c:ptCount val="4"/>
                <c:pt idx="0">
                  <c:v>0.28000000000000003</c:v>
                </c:pt>
                <c:pt idx="1">
                  <c:v>0.36</c:v>
                </c:pt>
                <c:pt idx="2">
                  <c:v>0.24</c:v>
                </c:pt>
                <c:pt idx="3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C-4377-8D49-A8B018868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2102560"/>
        <c:axId val="1232101120"/>
      </c:barChart>
      <c:catAx>
        <c:axId val="123210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2101120"/>
        <c:crosses val="autoZero"/>
        <c:auto val="1"/>
        <c:lblAlgn val="ctr"/>
        <c:lblOffset val="100"/>
        <c:noMultiLvlLbl val="0"/>
      </c:catAx>
      <c:valAx>
        <c:axId val="123210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210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Alturas</a:t>
            </a:r>
            <a:r>
              <a:rPr lang="pt-PT" baseline="0"/>
              <a:t> dos alunos da ESTGA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Folha9!$F$28:$F$34</c:f>
              <c:strCache>
                <c:ptCount val="7"/>
                <c:pt idx="0">
                  <c:v>]1,65;1,7]</c:v>
                </c:pt>
                <c:pt idx="1">
                  <c:v>]1,7;1,75]</c:v>
                </c:pt>
                <c:pt idx="2">
                  <c:v>]1,75;1,8]</c:v>
                </c:pt>
                <c:pt idx="3">
                  <c:v>]1,8;1,85]</c:v>
                </c:pt>
                <c:pt idx="4">
                  <c:v>]1,85;1,9]</c:v>
                </c:pt>
                <c:pt idx="5">
                  <c:v>]1,9;1,95]</c:v>
                </c:pt>
                <c:pt idx="6">
                  <c:v>]1,95;2]</c:v>
                </c:pt>
              </c:strCache>
            </c:strRef>
          </c:cat>
          <c:val>
            <c:numRef>
              <c:f>Folha9!$H$28:$H$34</c:f>
              <c:numCache>
                <c:formatCode>0.00%</c:formatCode>
                <c:ptCount val="7"/>
                <c:pt idx="0">
                  <c:v>5.8333333333333334E-2</c:v>
                </c:pt>
                <c:pt idx="1">
                  <c:v>0.10833333333333334</c:v>
                </c:pt>
                <c:pt idx="2">
                  <c:v>0.29166666666666669</c:v>
                </c:pt>
                <c:pt idx="3">
                  <c:v>0.25</c:v>
                </c:pt>
                <c:pt idx="4">
                  <c:v>0.20833333333333334</c:v>
                </c:pt>
                <c:pt idx="5">
                  <c:v>6.6666666666666666E-2</c:v>
                </c:pt>
                <c:pt idx="6">
                  <c:v>1.6666666666666666E-2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8-422D-97AD-4FFD7E144A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6"/>
        <c:axId val="1935154639"/>
        <c:axId val="1935152719"/>
      </c:barChart>
      <c:catAx>
        <c:axId val="193515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152719"/>
        <c:crosses val="autoZero"/>
        <c:auto val="1"/>
        <c:lblAlgn val="ctr"/>
        <c:lblOffset val="100"/>
        <c:noMultiLvlLbl val="0"/>
      </c:catAx>
      <c:valAx>
        <c:axId val="193515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15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Tempo de resposta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Folha11!$F$26:$F$33</c:f>
              <c:strCache>
                <c:ptCount val="8"/>
                <c:pt idx="0">
                  <c:v>]102;114]</c:v>
                </c:pt>
                <c:pt idx="1">
                  <c:v>]114;126]</c:v>
                </c:pt>
                <c:pt idx="2">
                  <c:v>]126;138]</c:v>
                </c:pt>
                <c:pt idx="3">
                  <c:v>]138;150]</c:v>
                </c:pt>
                <c:pt idx="4">
                  <c:v>]150;162]</c:v>
                </c:pt>
                <c:pt idx="5">
                  <c:v>]162;174]</c:v>
                </c:pt>
                <c:pt idx="6">
                  <c:v>]174;186]</c:v>
                </c:pt>
                <c:pt idx="7">
                  <c:v>]186;198]</c:v>
                </c:pt>
              </c:strCache>
            </c:strRef>
          </c:cat>
          <c:val>
            <c:numRef>
              <c:f>Folha11!$G$26:$G$33</c:f>
              <c:numCache>
                <c:formatCode>General</c:formatCode>
                <c:ptCount val="8"/>
                <c:pt idx="0">
                  <c:v>14</c:v>
                </c:pt>
                <c:pt idx="1">
                  <c:v>21</c:v>
                </c:pt>
                <c:pt idx="2">
                  <c:v>16</c:v>
                </c:pt>
                <c:pt idx="3">
                  <c:v>23</c:v>
                </c:pt>
                <c:pt idx="4">
                  <c:v>24</c:v>
                </c:pt>
                <c:pt idx="5">
                  <c:v>24</c:v>
                </c:pt>
                <c:pt idx="6">
                  <c:v>17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2-46A6-A499-8CDE6836F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935150319"/>
        <c:axId val="1935155119"/>
      </c:barChart>
      <c:catAx>
        <c:axId val="193515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155119"/>
        <c:crosses val="autoZero"/>
        <c:auto val="1"/>
        <c:lblAlgn val="ctr"/>
        <c:lblOffset val="100"/>
        <c:noMultiLvlLbl val="0"/>
      </c:catAx>
      <c:valAx>
        <c:axId val="193515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15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Tempo de estudo semanal dos</a:t>
            </a:r>
            <a:r>
              <a:rPr lang="pt-PT" baseline="0"/>
              <a:t> alunos </a:t>
            </a:r>
            <a:r>
              <a:rPr lang="pt-PT"/>
              <a:t>de MQI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Folha12!$F$27:$F$33</c:f>
              <c:strCache>
                <c:ptCount val="7"/>
                <c:pt idx="0">
                  <c:v>]43,65]</c:v>
                </c:pt>
                <c:pt idx="1">
                  <c:v>]65,87]</c:v>
                </c:pt>
                <c:pt idx="2">
                  <c:v>]87,109]</c:v>
                </c:pt>
                <c:pt idx="3">
                  <c:v>]109,131]</c:v>
                </c:pt>
                <c:pt idx="4">
                  <c:v>]131,153]</c:v>
                </c:pt>
                <c:pt idx="5">
                  <c:v>]153,175]</c:v>
                </c:pt>
                <c:pt idx="6">
                  <c:v>]175,197]</c:v>
                </c:pt>
              </c:strCache>
            </c:strRef>
          </c:cat>
          <c:val>
            <c:numRef>
              <c:f>Folha12!$H$27:$H$33</c:f>
              <c:numCache>
                <c:formatCode>0.0%</c:formatCode>
                <c:ptCount val="7"/>
                <c:pt idx="0">
                  <c:v>0.2</c:v>
                </c:pt>
                <c:pt idx="1">
                  <c:v>0.10833333333333334</c:v>
                </c:pt>
                <c:pt idx="2">
                  <c:v>0.15833333333333333</c:v>
                </c:pt>
                <c:pt idx="3">
                  <c:v>0.2</c:v>
                </c:pt>
                <c:pt idx="4">
                  <c:v>0.1</c:v>
                </c:pt>
                <c:pt idx="5">
                  <c:v>0.13333333333333333</c:v>
                </c:pt>
                <c:pt idx="6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1-4921-AECD-F476A05137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1232094880"/>
        <c:axId val="1232098240"/>
      </c:barChart>
      <c:catAx>
        <c:axId val="1232094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Tempo</a:t>
                </a:r>
                <a:r>
                  <a:rPr lang="pt-PT" baseline="0"/>
                  <a:t> em minutos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2098240"/>
        <c:crosses val="autoZero"/>
        <c:auto val="1"/>
        <c:lblAlgn val="ctr"/>
        <c:lblOffset val="100"/>
        <c:noMultiLvlLbl val="0"/>
      </c:catAx>
      <c:valAx>
        <c:axId val="123209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fi(%)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209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560746</xdr:colOff>
      <xdr:row>10</xdr:row>
      <xdr:rowOff>97447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932B92C-613D-48C5-AC8C-6A8E5E439A7D}"/>
            </a:ext>
          </a:extLst>
        </xdr:cNvPr>
        <xdr:cNvSpPr txBox="1"/>
      </xdr:nvSpPr>
      <xdr:spPr>
        <a:xfrm>
          <a:off x="0" y="0"/>
          <a:ext cx="7842762" cy="201781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1</a:t>
          </a:r>
        </a:p>
        <a:p>
          <a:pPr algn="l"/>
          <a:r>
            <a:rPr lang="pt-PT" sz="1200" b="0" i="0" u="none" strike="noStrike" baseline="0">
              <a:latin typeface="CMR10"/>
            </a:rPr>
            <a:t>O dono de um restaurante pretendia analisar a marca de queijo favorita dos seus clientes de entre as seguintes: Serra</a:t>
          </a:r>
        </a:p>
        <a:p>
          <a:pPr algn="l"/>
          <a:r>
            <a:rPr lang="pt-PT" sz="1200" b="0" i="0" u="none" strike="noStrike" baseline="0">
              <a:latin typeface="CMR10"/>
            </a:rPr>
            <a:t>(</a:t>
          </a:r>
          <a:r>
            <a:rPr lang="pt-PT" sz="1200" b="0" i="0" u="none" strike="noStrike" baseline="0">
              <a:latin typeface="CMBX10"/>
            </a:rPr>
            <a:t>S</a:t>
          </a:r>
          <a:r>
            <a:rPr lang="pt-PT" sz="1200" b="0" i="0" u="none" strike="noStrike" baseline="0">
              <a:latin typeface="CMR10"/>
            </a:rPr>
            <a:t>), São Jorge (</a:t>
          </a:r>
          <a:r>
            <a:rPr lang="pt-PT" sz="1200" b="0" i="0" u="none" strike="noStrike" baseline="0">
              <a:latin typeface="CMBX10"/>
            </a:rPr>
            <a:t>J</a:t>
          </a:r>
          <a:r>
            <a:rPr lang="pt-PT" sz="1200" b="0" i="0" u="none" strike="noStrike" baseline="0">
              <a:latin typeface="CMR10"/>
            </a:rPr>
            <a:t>), Rabaçal(</a:t>
          </a:r>
          <a:r>
            <a:rPr lang="pt-PT" sz="1200" b="0" i="0" u="none" strike="noStrike" baseline="0">
              <a:latin typeface="CMBX10"/>
            </a:rPr>
            <a:t>R</a:t>
          </a:r>
          <a:r>
            <a:rPr lang="pt-PT" sz="1200" b="0" i="0" u="none" strike="noStrike" baseline="0">
              <a:latin typeface="CMR10"/>
            </a:rPr>
            <a:t>) e Transmontano (</a:t>
          </a:r>
          <a:r>
            <a:rPr lang="pt-PT" sz="1200" b="0" i="0" u="none" strike="noStrike" baseline="0">
              <a:latin typeface="CMBX10"/>
            </a:rPr>
            <a:t>T</a:t>
          </a:r>
          <a:r>
            <a:rPr lang="pt-PT" sz="1200" b="0" i="0" u="none" strike="noStrike" baseline="0">
              <a:latin typeface="CMR10"/>
            </a:rPr>
            <a:t>). Para tal recolheu a opinião de 24 dos seus clientes. A amostra</a:t>
          </a:r>
        </a:p>
        <a:p>
          <a:pPr algn="l"/>
          <a:r>
            <a:rPr lang="pt-PT" sz="1200" b="0" i="0" u="none" strike="noStrike" baseline="0">
              <a:latin typeface="CMR10"/>
            </a:rPr>
            <a:t>recolhida </a:t>
          </a:r>
          <a:r>
            <a:rPr lang="pt-PT" sz="1200" baseline="0"/>
            <a:t>encontra-se em A14:A37.</a:t>
          </a:r>
        </a:p>
        <a:p>
          <a:r>
            <a:rPr lang="pt-PT" sz="1200" b="1" baseline="0"/>
            <a:t>1.1.</a:t>
          </a:r>
          <a:r>
            <a:rPr lang="pt-PT" sz="1200" baseline="0"/>
            <a:t> Identifique e classifique a variável em estudo.</a:t>
          </a:r>
        </a:p>
        <a:p>
          <a:r>
            <a:rPr lang="pt-PT" sz="1200" b="1" baseline="0"/>
            <a:t>1.2.</a:t>
          </a:r>
          <a:r>
            <a:rPr lang="pt-PT" sz="1200" baseline="0"/>
            <a:t> Construa uma tabela de frequências.</a:t>
          </a:r>
        </a:p>
        <a:p>
          <a:r>
            <a:rPr lang="pt-PT" sz="1200" b="1" baseline="0"/>
            <a:t>1.3. </a:t>
          </a:r>
          <a:r>
            <a:rPr lang="pt-PT" sz="1200" baseline="0"/>
            <a:t>Quantos clientes que preferem o queijo Rabaçal?</a:t>
          </a:r>
        </a:p>
        <a:p>
          <a:r>
            <a:rPr lang="pt-PT" sz="1200" b="1" baseline="0"/>
            <a:t>1.4.</a:t>
          </a:r>
          <a:r>
            <a:rPr lang="pt-PT" sz="1200" baseline="0"/>
            <a:t> Qual é a percentagem de clientes que preferem o queijo Transmontano?</a:t>
          </a:r>
        </a:p>
        <a:p>
          <a:r>
            <a:rPr lang="pt-PT" sz="1200" b="1" baseline="0"/>
            <a:t>1.5.</a:t>
          </a:r>
          <a:r>
            <a:rPr lang="pt-PT" sz="1200" baseline="0"/>
            <a:t> Represente graficamente a informação (gráfico de barras e gráfico circular).</a:t>
          </a:r>
        </a:p>
        <a:p>
          <a:endParaRPr lang="pt-PT" sz="1200" baseline="0"/>
        </a:p>
        <a:p>
          <a:endParaRPr lang="pt-PT" sz="1100"/>
        </a:p>
      </xdr:txBody>
    </xdr:sp>
    <xdr:clientData/>
  </xdr:twoCellAnchor>
  <xdr:twoCellAnchor>
    <xdr:from>
      <xdr:col>2</xdr:col>
      <xdr:colOff>56844</xdr:colOff>
      <xdr:row>30</xdr:row>
      <xdr:rowOff>37945</xdr:rowOff>
    </xdr:from>
    <xdr:to>
      <xdr:col>8</xdr:col>
      <xdr:colOff>43017</xdr:colOff>
      <xdr:row>44</xdr:row>
      <xdr:rowOff>92637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89484BD-F934-2A98-B681-E6DD5B365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26116</xdr:colOff>
      <xdr:row>30</xdr:row>
      <xdr:rowOff>14901</xdr:rowOff>
    </xdr:from>
    <xdr:to>
      <xdr:col>16</xdr:col>
      <xdr:colOff>350274</xdr:colOff>
      <xdr:row>44</xdr:row>
      <xdr:rowOff>69593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91870EE-97EF-6336-DD76-07F22A39E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533421</xdr:colOff>
      <xdr:row>12</xdr:row>
      <xdr:rowOff>151191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25029EF-6220-4826-81B0-9AEA0F8864F9}"/>
            </a:ext>
          </a:extLst>
        </xdr:cNvPr>
        <xdr:cNvSpPr txBox="1"/>
      </xdr:nvSpPr>
      <xdr:spPr>
        <a:xfrm>
          <a:off x="0" y="0"/>
          <a:ext cx="8566675" cy="244928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2</a:t>
          </a:r>
        </a:p>
        <a:p>
          <a:pPr algn="l"/>
          <a:r>
            <a:rPr lang="pt-PT" sz="1200" b="0" i="0" u="none" strike="noStrike" baseline="0">
              <a:latin typeface="CMR10"/>
            </a:rPr>
            <a:t>Com o objetivo de analisar o número de cafés bebidos num dia pelos alunos da ESTGA, recolheu-se uma amostra que</a:t>
          </a:r>
        </a:p>
        <a:p>
          <a:pPr algn="l"/>
          <a:r>
            <a:rPr lang="pt-PT" sz="1200" b="0" i="0" u="none" strike="noStrike" baseline="0">
              <a:latin typeface="CMR10"/>
            </a:rPr>
            <a:t>se encontra em A16:A115.</a:t>
          </a:r>
        </a:p>
        <a:p>
          <a:pPr algn="l"/>
          <a:r>
            <a:rPr lang="pt-PT" sz="1200" b="1" baseline="0"/>
            <a:t>2.1.</a:t>
          </a:r>
          <a:r>
            <a:rPr lang="pt-PT" sz="1200" baseline="0"/>
            <a:t> Defina e classifique a variável em estudo.</a:t>
          </a:r>
        </a:p>
        <a:p>
          <a:r>
            <a:rPr lang="pt-PT" sz="1200" b="1" baseline="0"/>
            <a:t>2.2.</a:t>
          </a:r>
          <a:r>
            <a:rPr lang="pt-PT" sz="1200" baseline="0"/>
            <a:t> Construa uma tabela de frequências absolutas e relativas.</a:t>
          </a:r>
        </a:p>
        <a:p>
          <a:r>
            <a:rPr lang="pt-PT" sz="1200" b="1" baseline="0"/>
            <a:t>2.3.</a:t>
          </a:r>
          <a:r>
            <a:rPr lang="pt-PT" sz="1200" baseline="0"/>
            <a:t> Represente graficamente a informação (diagrama de barras e gráfico circular).</a:t>
          </a:r>
        </a:p>
        <a:p>
          <a:r>
            <a:rPr lang="pt-PT" sz="1200" b="1" baseline="0"/>
            <a:t>2.4.</a:t>
          </a:r>
          <a:r>
            <a:rPr lang="pt-PT" sz="1200" baseline="0"/>
            <a:t> Qual o número de alunos que bebe 1 café por dia?</a:t>
          </a:r>
        </a:p>
        <a:p>
          <a:r>
            <a:rPr lang="pt-PT" sz="1200" b="1" baseline="0"/>
            <a:t>2.5</a:t>
          </a:r>
          <a:r>
            <a:rPr lang="pt-PT" sz="1200" baseline="0"/>
            <a:t>. Quantos alunos bebem no máximo 2 cafés por dia?</a:t>
          </a:r>
        </a:p>
        <a:p>
          <a:r>
            <a:rPr lang="pt-PT" sz="1200" b="1" baseline="0"/>
            <a:t>2.6.</a:t>
          </a:r>
          <a:r>
            <a:rPr lang="pt-PT" sz="1200" baseline="0"/>
            <a:t> Qual a percentagem de alunos que bebe mais do que 4 cafés por dia?</a:t>
          </a:r>
        </a:p>
        <a:p>
          <a:r>
            <a:rPr lang="pt-PT" sz="1200" b="1"/>
            <a:t>2.7. </a:t>
          </a:r>
          <a:r>
            <a:rPr lang="pt-PT" sz="1200"/>
            <a:t>Determine:</a:t>
          </a:r>
        </a:p>
        <a:p>
          <a:r>
            <a:rPr lang="pt-PT" sz="1200" b="1"/>
            <a:t>2.7.1.</a:t>
          </a:r>
          <a:r>
            <a:rPr lang="pt-PT" sz="1200"/>
            <a:t> a média e a moda</a:t>
          </a:r>
          <a:r>
            <a:rPr lang="pt-PT" sz="1200" baseline="0"/>
            <a:t> da amostra;</a:t>
          </a:r>
        </a:p>
        <a:p>
          <a:r>
            <a:rPr lang="pt-PT" sz="1200" b="1" baseline="0"/>
            <a:t>2.7.2. </a:t>
          </a:r>
          <a:r>
            <a:rPr lang="pt-PT" sz="1200" baseline="0"/>
            <a:t>a variância e o desvio padrão da amostra;</a:t>
          </a:r>
        </a:p>
        <a:p>
          <a:r>
            <a:rPr lang="pt-PT" sz="1200" b="1" baseline="0"/>
            <a:t>2.7.3. </a:t>
          </a:r>
          <a:r>
            <a:rPr lang="pt-PT" sz="1200" baseline="0"/>
            <a:t>a mediana da amostra e interprete o valor obtido.</a:t>
          </a:r>
        </a:p>
        <a:p>
          <a:endParaRPr lang="pt-PT" sz="1100"/>
        </a:p>
      </xdr:txBody>
    </xdr:sp>
    <xdr:clientData/>
  </xdr:twoCellAnchor>
  <xdr:twoCellAnchor>
    <xdr:from>
      <xdr:col>2</xdr:col>
      <xdr:colOff>11990</xdr:colOff>
      <xdr:row>31</xdr:row>
      <xdr:rowOff>43828</xdr:rowOff>
    </xdr:from>
    <xdr:to>
      <xdr:col>9</xdr:col>
      <xdr:colOff>294410</xdr:colOff>
      <xdr:row>45</xdr:row>
      <xdr:rowOff>82727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776F728-6BFB-D559-628E-FB865ADC2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51954</xdr:colOff>
      <xdr:row>31</xdr:row>
      <xdr:rowOff>83793</xdr:rowOff>
    </xdr:from>
    <xdr:to>
      <xdr:col>17</xdr:col>
      <xdr:colOff>334374</xdr:colOff>
      <xdr:row>45</xdr:row>
      <xdr:rowOff>122692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3E16F17-C3FA-3E5F-6EF1-613921677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156827</xdr:colOff>
      <xdr:row>11</xdr:row>
      <xdr:rowOff>28575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4A4B609-BB74-40D0-A6A7-DD5600E72717}"/>
            </a:ext>
          </a:extLst>
        </xdr:cNvPr>
        <xdr:cNvSpPr txBox="1"/>
      </xdr:nvSpPr>
      <xdr:spPr>
        <a:xfrm>
          <a:off x="0" y="0"/>
          <a:ext cx="8691227" cy="21240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3</a:t>
          </a:r>
        </a:p>
        <a:p>
          <a:pPr algn="l"/>
          <a:r>
            <a:rPr lang="pt-PT" sz="1200"/>
            <a:t>No sentido de analisar os hábitos de leitura dos estudantes, questionaram-se os alunos da ESTGA sobre o número de livros lidos nas últimas férias de verão.</a:t>
          </a:r>
          <a:br>
            <a:rPr lang="pt-PT" sz="1200"/>
          </a:br>
          <a:r>
            <a:rPr lang="pt-PT" sz="1200"/>
            <a:t>Os resultados recolhidos encontram-se apresentados abaixo.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Identifique a variável em estudo.</a:t>
          </a:r>
          <a:endParaRPr lang="pt-PT" sz="1200"/>
        </a:p>
        <a:p>
          <a:pPr algn="l"/>
          <a:r>
            <a:rPr lang="pt-PT" sz="1200" b="1" i="0" u="none" strike="noStrike" baseline="0">
              <a:latin typeface="+mn-lt"/>
            </a:rPr>
            <a:t>3.2.</a:t>
          </a:r>
          <a:r>
            <a:rPr lang="pt-PT" sz="1200" b="0" i="0" u="none" strike="noStrike" baseline="0">
              <a:latin typeface="+mn-lt"/>
            </a:rPr>
            <a:t> Elabore uma tabela de frequências.</a:t>
          </a:r>
        </a:p>
        <a:p>
          <a:pPr algn="l"/>
          <a:r>
            <a:rPr lang="pt-PT" sz="1200" b="1" i="0" u="none" strike="noStrike" baseline="0">
              <a:latin typeface="+mn-lt"/>
            </a:rPr>
            <a:t>3.3.</a:t>
          </a:r>
          <a:r>
            <a:rPr lang="pt-PT" sz="1200" b="0" i="0" u="none" strike="noStrike" baseline="0">
              <a:latin typeface="+mn-lt"/>
            </a:rPr>
            <a:t> Represente graficamente a informação anterior.</a:t>
          </a:r>
        </a:p>
        <a:p>
          <a:pPr algn="l"/>
          <a:r>
            <a:rPr lang="pt-PT" sz="1200" b="1" i="0" u="none" strike="noStrike" baseline="0">
              <a:latin typeface="+mn-lt"/>
            </a:rPr>
            <a:t>3.4. </a:t>
          </a:r>
          <a:r>
            <a:rPr lang="pt-PT" sz="1200" b="0" i="0" u="none" strike="noStrike" baseline="0">
              <a:latin typeface="+mn-lt"/>
            </a:rPr>
            <a:t>Calcule as medidas de localização: média, mediana e moda.</a:t>
          </a:r>
        </a:p>
        <a:p>
          <a:pPr algn="l"/>
          <a:r>
            <a:rPr lang="pt-PT" sz="1200" b="1" i="0" u="none" strike="noStrike" baseline="0">
              <a:latin typeface="+mn-lt"/>
            </a:rPr>
            <a:t>3.5.</a:t>
          </a:r>
          <a:r>
            <a:rPr lang="pt-PT" sz="1200" b="0" i="0" u="none" strike="noStrike" baseline="0">
              <a:latin typeface="+mn-lt"/>
            </a:rPr>
            <a:t> Calcule as seguintes medidas de dispersão: amplitude da amostra, variância e desvio padrão.</a:t>
          </a:r>
        </a:p>
        <a:p>
          <a:pPr algn="l"/>
          <a:r>
            <a:rPr lang="pt-PT" sz="1200" b="1" i="0" u="none" strike="noStrike" baseline="0">
              <a:latin typeface="+mn-lt"/>
            </a:rPr>
            <a:t>3.6.</a:t>
          </a:r>
          <a:r>
            <a:rPr lang="pt-PT" sz="1200" b="0" i="0" u="none" strike="noStrike" baseline="0">
              <a:latin typeface="+mn-lt"/>
            </a:rPr>
            <a:t> Calcule a percentagem de alunos que leem no máximo 1 livro nas férias de verão.</a:t>
          </a:r>
        </a:p>
        <a:p>
          <a:pPr algn="l"/>
          <a:r>
            <a:rPr lang="pt-PT" sz="1200" b="1" i="0" u="none" strike="noStrike" baseline="0">
              <a:latin typeface="+mn-lt"/>
            </a:rPr>
            <a:t>3.7. </a:t>
          </a:r>
          <a:r>
            <a:rPr lang="pt-PT" sz="1200" b="0" i="0" u="none" strike="noStrike" baseline="0">
              <a:latin typeface="+mn-lt"/>
            </a:rPr>
            <a:t>Quantos alunos leem pelo menos 3  livros nas férias de verão?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  <xdr:twoCellAnchor>
    <xdr:from>
      <xdr:col>1</xdr:col>
      <xdr:colOff>39087</xdr:colOff>
      <xdr:row>27</xdr:row>
      <xdr:rowOff>34686</xdr:rowOff>
    </xdr:from>
    <xdr:to>
      <xdr:col>9</xdr:col>
      <xdr:colOff>374260</xdr:colOff>
      <xdr:row>41</xdr:row>
      <xdr:rowOff>136046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0421143-CB31-74D1-2B97-FC36BF773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25610</xdr:colOff>
      <xdr:row>27</xdr:row>
      <xdr:rowOff>16714</xdr:rowOff>
    </xdr:from>
    <xdr:to>
      <xdr:col>17</xdr:col>
      <xdr:colOff>320346</xdr:colOff>
      <xdr:row>41</xdr:row>
      <xdr:rowOff>118074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73E6F28-EB25-1CA7-ABB7-2C7ADF4F2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523173</xdr:colOff>
      <xdr:row>11</xdr:row>
      <xdr:rowOff>22239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9736A23-6286-4F2F-829E-4193ECEED479}"/>
            </a:ext>
          </a:extLst>
        </xdr:cNvPr>
        <xdr:cNvSpPr txBox="1"/>
      </xdr:nvSpPr>
      <xdr:spPr>
        <a:xfrm>
          <a:off x="0" y="0"/>
          <a:ext cx="9681827" cy="210430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4</a:t>
          </a:r>
        </a:p>
        <a:p>
          <a:pPr algn="l"/>
          <a:r>
            <a:rPr lang="pt-PT" sz="1200"/>
            <a:t>Com o objetivo de realizar um estudo sobre os hábitos de consumo diário de peças de fruta, foram questionados</a:t>
          </a:r>
          <a:r>
            <a:rPr lang="pt-PT" sz="1200" baseline="0"/>
            <a:t> 120 indivíduos.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Os resultados recolhidos encontram-se apresentados abaixo.</a:t>
          </a:r>
          <a:endParaRPr lang="pt-PT" sz="12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Identifique a variável em estudo.</a:t>
          </a:r>
          <a:endParaRPr lang="pt-PT" sz="1200"/>
        </a:p>
        <a:p>
          <a:pPr algn="l"/>
          <a:r>
            <a:rPr lang="pt-PT" sz="1200" b="1" i="0" u="none" strike="noStrike" baseline="0">
              <a:latin typeface="+mn-lt"/>
            </a:rPr>
            <a:t>4.2.</a:t>
          </a:r>
          <a:r>
            <a:rPr lang="pt-PT" sz="1200" b="0" i="0" u="none" strike="noStrike" baseline="0">
              <a:latin typeface="+mn-lt"/>
            </a:rPr>
            <a:t> Elabore uma tabela de frequências.</a:t>
          </a:r>
        </a:p>
        <a:p>
          <a:pPr algn="l"/>
          <a:r>
            <a:rPr lang="pt-PT" sz="1200" b="1" i="0" u="none" strike="noStrike" baseline="0">
              <a:latin typeface="+mn-lt"/>
            </a:rPr>
            <a:t>4.3.</a:t>
          </a:r>
          <a:r>
            <a:rPr lang="pt-PT" sz="1200" b="0" i="0" u="none" strike="noStrike" baseline="0">
              <a:latin typeface="+mn-lt"/>
            </a:rPr>
            <a:t> Represente graficamente a informação anterior.</a:t>
          </a:r>
        </a:p>
        <a:p>
          <a:pPr algn="l"/>
          <a:r>
            <a:rPr lang="pt-PT" sz="1200" b="1" i="0" u="none" strike="noStrike" baseline="0">
              <a:latin typeface="+mn-lt"/>
            </a:rPr>
            <a:t>4.4. </a:t>
          </a:r>
          <a:r>
            <a:rPr lang="pt-PT" sz="1200" b="0" i="0" u="none" strike="noStrike" baseline="0">
              <a:latin typeface="+mn-lt"/>
            </a:rPr>
            <a:t>Utilizando as ferramentas e funções do Excel que achar convenientes, obtenha a informação necessária para completar as seguintes afirmações:</a:t>
          </a:r>
        </a:p>
        <a:p>
          <a:pPr algn="l"/>
          <a:r>
            <a:rPr lang="pt-PT" sz="1200" b="1" i="0" u="none" strike="noStrike" baseline="0">
              <a:latin typeface="+mn-lt"/>
            </a:rPr>
            <a:t>4.4.1. </a:t>
          </a:r>
          <a:r>
            <a:rPr lang="pt-PT" sz="1200" b="0" i="0" u="none" strike="noStrike" baseline="0">
              <a:latin typeface="+mn-lt"/>
            </a:rPr>
            <a:t>O número médio de peças de fruta consumido diariamente é __________ .</a:t>
          </a:r>
        </a:p>
        <a:p>
          <a:pPr algn="l"/>
          <a:r>
            <a:rPr lang="pt-PT" sz="1200" b="1" i="0" u="none" strike="noStrike" baseline="0">
              <a:latin typeface="+mn-lt"/>
            </a:rPr>
            <a:t>4.4.2.</a:t>
          </a:r>
          <a:r>
            <a:rPr lang="pt-PT" sz="1200" b="0" i="0" u="none" strike="noStrike" baseline="0">
              <a:latin typeface="+mn-lt"/>
            </a:rPr>
            <a:t> O valor do desvio padrão, com aproximação às centésimas é __________ .</a:t>
          </a:r>
        </a:p>
        <a:p>
          <a:pPr algn="l"/>
          <a:r>
            <a:rPr lang="pt-PT" sz="1200" b="1" i="0" u="none" strike="noStrike" baseline="0">
              <a:latin typeface="+mn-lt"/>
            </a:rPr>
            <a:t>4.4.3. </a:t>
          </a:r>
          <a:r>
            <a:rPr lang="pt-PT" sz="1200" b="0" i="0" u="none" strike="noStrike" baseline="0">
              <a:latin typeface="+mn-lt"/>
            </a:rPr>
            <a:t>O número máximo de peças de fruta consumido diariamente pelo grupo dos 50% que menos peças de fruta consome é __________ .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  <xdr:twoCellAnchor>
    <xdr:from>
      <xdr:col>2</xdr:col>
      <xdr:colOff>19528</xdr:colOff>
      <xdr:row>32</xdr:row>
      <xdr:rowOff>39856</xdr:rowOff>
    </xdr:from>
    <xdr:to>
      <xdr:col>9</xdr:col>
      <xdr:colOff>323212</xdr:colOff>
      <xdr:row>46</xdr:row>
      <xdr:rowOff>104897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EF6192-09E1-ACB4-E665-412247F8D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39455</xdr:colOff>
      <xdr:row>32</xdr:row>
      <xdr:rowOff>87680</xdr:rowOff>
    </xdr:from>
    <xdr:to>
      <xdr:col>17</xdr:col>
      <xdr:colOff>343139</xdr:colOff>
      <xdr:row>46</xdr:row>
      <xdr:rowOff>152721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B5F13E5-DC7D-D799-1D59-61FA040A3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57150</xdr:rowOff>
    </xdr:from>
    <xdr:to>
      <xdr:col>14</xdr:col>
      <xdr:colOff>43037</xdr:colOff>
      <xdr:row>7</xdr:row>
      <xdr:rowOff>57150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130A5BE-0823-4967-B724-076663E81E84}"/>
            </a:ext>
          </a:extLst>
        </xdr:cNvPr>
        <xdr:cNvSpPr txBox="1"/>
      </xdr:nvSpPr>
      <xdr:spPr>
        <a:xfrm>
          <a:off x="47625" y="57150"/>
          <a:ext cx="8529812" cy="13335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5</a:t>
          </a:r>
        </a:p>
        <a:p>
          <a:pPr algn="l"/>
          <a:r>
            <a:rPr lang="pt-PT" sz="1200" b="0" i="0" u="none" strike="noStrike" baseline="0">
              <a:latin typeface="+mn-lt"/>
            </a:rPr>
            <a:t>Registou-se o comprimento dos parafusos que se encontram numa caixa, tendo sido obtidos os valores que constam na</a:t>
          </a:r>
        </a:p>
        <a:p>
          <a:pPr algn="l"/>
          <a:r>
            <a:rPr lang="pt-PT" sz="1200" b="0" i="0" u="none" strike="noStrike" baseline="0">
              <a:latin typeface="+mn-lt"/>
            </a:rPr>
            <a:t>amostra.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u="none" strike="noStrike" baseline="0">
              <a:latin typeface="+mn-lt"/>
            </a:rPr>
            <a:t>5.1</a:t>
          </a:r>
          <a:r>
            <a:rPr lang="pt-PT" sz="1200" b="0" i="0" u="none" strike="noStrike" baseline="0">
              <a:latin typeface="+mn-lt"/>
            </a:rPr>
            <a:t>. </a:t>
          </a:r>
          <a:r>
            <a:rPr lang="pt-PT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Defina e classifique a variável em estudo.</a:t>
          </a:r>
          <a:endParaRPr lang="pt-PT" sz="1200">
            <a:effectLst/>
            <a:latin typeface="+mn-lt"/>
          </a:endParaRPr>
        </a:p>
        <a:p>
          <a:pPr algn="l"/>
          <a:r>
            <a:rPr lang="pt-PT" sz="1200" b="1" i="0" u="none" strike="noStrike" baseline="0">
              <a:latin typeface="+mn-lt"/>
            </a:rPr>
            <a:t>5.2.</a:t>
          </a:r>
          <a:r>
            <a:rPr lang="pt-PT" sz="1200" b="0" i="0" u="none" strike="noStrike" baseline="0">
              <a:latin typeface="+mn-lt"/>
            </a:rPr>
            <a:t>  Agrupe os dados em classes e construa uma tabela de frequências absolutas e relativas.</a:t>
          </a:r>
        </a:p>
        <a:p>
          <a:pPr algn="l"/>
          <a:r>
            <a:rPr lang="pt-PT" sz="1200" b="1" i="0" u="none" strike="noStrike" baseline="0">
              <a:latin typeface="+mn-lt"/>
            </a:rPr>
            <a:t>5.3. </a:t>
          </a:r>
          <a:r>
            <a:rPr lang="pt-PT" sz="1200" b="0" i="0" u="none" strike="noStrike" baseline="0">
              <a:latin typeface="+mn-lt"/>
            </a:rPr>
            <a:t>Construa um histograma de frequências relativas.</a:t>
          </a:r>
          <a:endParaRPr lang="pt-PT" sz="1200" baseline="0">
            <a:latin typeface="+mn-lt"/>
          </a:endParaRPr>
        </a:p>
        <a:p>
          <a:endParaRPr lang="pt-PT" sz="1100"/>
        </a:p>
      </xdr:txBody>
    </xdr:sp>
    <xdr:clientData/>
  </xdr:twoCellAnchor>
  <xdr:twoCellAnchor>
    <xdr:from>
      <xdr:col>3</xdr:col>
      <xdr:colOff>31466</xdr:colOff>
      <xdr:row>32</xdr:row>
      <xdr:rowOff>57150</xdr:rowOff>
    </xdr:from>
    <xdr:to>
      <xdr:col>9</xdr:col>
      <xdr:colOff>597863</xdr:colOff>
      <xdr:row>46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91E2BEE-452B-3121-F76F-151F1F1B5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347327</xdr:colOff>
      <xdr:row>11</xdr:row>
      <xdr:rowOff>161925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9645B7B-8FC1-4162-B232-4E8560622380}"/>
            </a:ext>
          </a:extLst>
        </xdr:cNvPr>
        <xdr:cNvSpPr txBox="1"/>
      </xdr:nvSpPr>
      <xdr:spPr>
        <a:xfrm>
          <a:off x="0" y="0"/>
          <a:ext cx="9234152" cy="22574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6</a:t>
          </a:r>
        </a:p>
        <a:p>
          <a:pPr algn="l"/>
          <a:r>
            <a:rPr lang="pt-PT" sz="1200"/>
            <a:t>No sentido de analisar os tempos de deslocação dos estudantes, questionaram-se os alunos da ESTGA sobre o tempo (em minutos) que demoram diariamente no percurso casa–escola.</a:t>
          </a:r>
          <a:br>
            <a:rPr lang="pt-PT" sz="1200"/>
          </a:br>
          <a:r>
            <a:rPr lang="pt-PT" sz="1200"/>
            <a:t>Os resultados recolhidos encontram-se apresentados abaixo.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Identifique a variável em estudo.</a:t>
          </a:r>
          <a:endParaRPr lang="pt-PT" sz="1200"/>
        </a:p>
        <a:p>
          <a:pPr algn="l"/>
          <a:r>
            <a:rPr lang="pt-PT" sz="1200" b="1" i="0" u="none" strike="noStrike" baseline="0">
              <a:latin typeface="+mn-lt"/>
            </a:rPr>
            <a:t>6.2.</a:t>
          </a:r>
          <a:r>
            <a:rPr lang="pt-PT" sz="1200" b="0" i="0" u="none" strike="noStrike" baseline="0">
              <a:latin typeface="+mn-lt"/>
            </a:rPr>
            <a:t> Agrupe os dados em classes usando a regra de Sturges e contrua uma tabela de frequências.</a:t>
          </a:r>
        </a:p>
        <a:p>
          <a:pPr algn="l"/>
          <a:r>
            <a:rPr lang="pt-PT" sz="1200" b="1" i="0" u="none" strike="noStrike" baseline="0">
              <a:latin typeface="+mn-lt"/>
            </a:rPr>
            <a:t>6.3.</a:t>
          </a:r>
          <a:r>
            <a:rPr lang="pt-PT" sz="1200" b="0" i="0" u="none" strike="noStrike" baseline="0">
              <a:latin typeface="+mn-lt"/>
            </a:rPr>
            <a:t> Construa um histograma utilizando as frequências relativas</a:t>
          </a:r>
        </a:p>
        <a:p>
          <a:pPr algn="l"/>
          <a:r>
            <a:rPr lang="pt-PT" sz="1200" b="1" i="0" u="none" strike="noStrike" baseline="0">
              <a:latin typeface="+mn-lt"/>
            </a:rPr>
            <a:t>6.4. </a:t>
          </a:r>
          <a:r>
            <a:rPr lang="pt-PT" sz="1200" b="0" i="0" u="none" strike="noStrike" baseline="0">
              <a:latin typeface="+mn-lt"/>
            </a:rPr>
            <a:t>Calcule a média  e a mediana e faça uma interpretação desses resultados.</a:t>
          </a:r>
        </a:p>
        <a:p>
          <a:pPr algn="l"/>
          <a:r>
            <a:rPr lang="pt-PT" sz="1200" b="1" i="0" u="none" strike="noStrike" baseline="0">
              <a:latin typeface="+mn-lt"/>
            </a:rPr>
            <a:t>6.5.</a:t>
          </a:r>
          <a:r>
            <a:rPr lang="pt-PT" sz="1200" b="0" i="0" u="none" strike="noStrike" baseline="0">
              <a:latin typeface="+mn-lt"/>
            </a:rPr>
            <a:t> Calcule a amplitude da amostra, variância e o desvio padrão. </a:t>
          </a:r>
        </a:p>
        <a:p>
          <a:pPr algn="l"/>
          <a:r>
            <a:rPr lang="pt-PT" sz="1200" b="1" i="0" u="none" strike="noStrike" baseline="0">
              <a:latin typeface="+mn-lt"/>
            </a:rPr>
            <a:t>6.6. </a:t>
          </a:r>
          <a:r>
            <a:rPr lang="pt-PT" sz="1200" b="0" i="0" u="none" strike="noStrike" baseline="0">
              <a:latin typeface="+mn-lt"/>
            </a:rPr>
            <a:t>Calcule a percentagem de alunos que demora mais do que 20 minutos no percurso casa-escola.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90152</xdr:colOff>
      <xdr:row>13</xdr:row>
      <xdr:rowOff>104775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381C4B6-47E6-4B03-A823-8F2E21ED54BF}"/>
            </a:ext>
          </a:extLst>
        </xdr:cNvPr>
        <xdr:cNvSpPr txBox="1"/>
      </xdr:nvSpPr>
      <xdr:spPr>
        <a:xfrm>
          <a:off x="0" y="0"/>
          <a:ext cx="9234152" cy="25812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7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/>
            <a:t>No âmbito de um estudo sobre a utilização de serviços bancários, recolheram-se dados relativos ao </a:t>
          </a:r>
          <a:r>
            <a:rPr lang="pt-PT" sz="1200" b="1"/>
            <a:t>tempo decorrido entre duas chegadas consecutivas</a:t>
          </a:r>
          <a:r>
            <a:rPr lang="pt-PT" sz="1200"/>
            <a:t> de utilizadores a um terminal de multibanco. O objetivo é analisar o padrão de afluência ao equipamento e verificar se existe regularidade ou variabilidade significativa nos tempos de espera. Os valores registados encontram-se apresentados abaixo.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Agrupe os dados em classes usando a regra de Sturges e contrua uma tabela de frequências absolutas e relativas.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u="none" strike="noStrike" baseline="0">
              <a:latin typeface="+mn-lt"/>
            </a:rPr>
            <a:t>7.2.</a:t>
          </a:r>
          <a:r>
            <a:rPr lang="pt-PT" sz="1200" b="0" i="0" u="none" strike="noStrike" baseline="0">
              <a:latin typeface="+mn-lt"/>
            </a:rPr>
            <a:t> Construa um histograma utilizando as frequências relativas.</a:t>
          </a:r>
        </a:p>
        <a:p>
          <a:pPr algn="l"/>
          <a:r>
            <a:rPr lang="pt-PT" sz="1200" b="1" i="0" u="none" strike="noStrike" baseline="0">
              <a:latin typeface="+mn-lt"/>
            </a:rPr>
            <a:t>7.3.</a:t>
          </a:r>
          <a:r>
            <a:rPr lang="pt-PT" sz="1200" b="0" i="0" u="none" strike="noStrike" baseline="0">
              <a:latin typeface="+mn-lt"/>
            </a:rPr>
            <a:t>  Complete as seguintes afirmações:</a:t>
          </a:r>
        </a:p>
        <a:p>
          <a:pPr algn="l"/>
          <a:r>
            <a:rPr lang="pt-PT" sz="1200" b="1" i="0" u="none" strike="noStrike" baseline="0">
              <a:latin typeface="+mn-lt"/>
            </a:rPr>
            <a:t>7.3.1 </a:t>
          </a:r>
          <a:r>
            <a:rPr lang="pt-PT" sz="1200" b="0" i="0" u="none" strike="noStrike" baseline="0">
              <a:latin typeface="+mn-lt"/>
            </a:rPr>
            <a:t>O tempo de chegada entre duas pessoas consecutivas a uma caixa de multibanco varia entre __________ e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7.3.2 </a:t>
          </a:r>
          <a:r>
            <a:rPr lang="pt-PT" sz="1200" b="0" i="0" u="none" strike="noStrike" baseline="0">
              <a:latin typeface="+mn-lt"/>
            </a:rPr>
            <a:t>O tempo médio de chegada é __________, sendo o mais frequente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7.3.3</a:t>
          </a:r>
          <a:r>
            <a:rPr lang="pt-PT" sz="1200" b="0" i="0" u="none" strike="noStrike" baseline="0">
              <a:latin typeface="+mn-lt"/>
            </a:rPr>
            <a:t> A amplitude dos valores da amostra é __________ e o desvio padrão é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7.3.4</a:t>
          </a:r>
          <a:r>
            <a:rPr lang="pt-PT" sz="1200" b="0" i="0" u="none" strike="noStrike" baseline="0">
              <a:latin typeface="+mn-lt"/>
            </a:rPr>
            <a:t> A percentagem de tempos inferiores a 2 minutos é de __________.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  <xdr:twoCellAnchor>
    <xdr:from>
      <xdr:col>2</xdr:col>
      <xdr:colOff>365047</xdr:colOff>
      <xdr:row>36</xdr:row>
      <xdr:rowOff>7882</xdr:rowOff>
    </xdr:from>
    <xdr:to>
      <xdr:col>10</xdr:col>
      <xdr:colOff>165163</xdr:colOff>
      <xdr:row>50</xdr:row>
      <xdr:rowOff>57806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D140CD-37BC-B97F-CDBA-F4880EBED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90152</xdr:colOff>
      <xdr:row>11</xdr:row>
      <xdr:rowOff>161925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DEE16EE-79A3-4F55-AF78-B941BD666214}"/>
            </a:ext>
          </a:extLst>
        </xdr:cNvPr>
        <xdr:cNvSpPr txBox="1"/>
      </xdr:nvSpPr>
      <xdr:spPr>
        <a:xfrm>
          <a:off x="0" y="0"/>
          <a:ext cx="9234152" cy="22574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8</a:t>
          </a:r>
        </a:p>
        <a:p>
          <a:pPr algn="l"/>
          <a:r>
            <a:rPr lang="pt-PT" sz="1200"/>
            <a:t>No âmbito de um estudo sobre a realidade familiar dos estudantes, recolheram-se dados relativos ao </a:t>
          </a:r>
          <a:r>
            <a:rPr lang="pt-PT" sz="1200" b="1"/>
            <a:t>número de irmãos</a:t>
          </a:r>
          <a:r>
            <a:rPr lang="pt-PT" sz="1200"/>
            <a:t> dos alunos da ESTGA. </a:t>
          </a:r>
          <a:br>
            <a:rPr lang="pt-PT" sz="1200"/>
          </a:br>
          <a:r>
            <a:rPr lang="pt-PT" sz="1200"/>
            <a:t>Os resultados recolhidos encontram-se apresentados abaixo.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Identifique a variável em estudo.</a:t>
          </a:r>
          <a:endParaRPr lang="pt-PT" sz="1200"/>
        </a:p>
        <a:p>
          <a:pPr algn="l"/>
          <a:r>
            <a:rPr lang="pt-PT" sz="1200" b="1" i="0" u="none" strike="noStrike" baseline="0">
              <a:latin typeface="+mn-lt"/>
            </a:rPr>
            <a:t>8.2.</a:t>
          </a:r>
          <a:r>
            <a:rPr lang="pt-PT" sz="1200" b="0" i="0" u="none" strike="noStrike" baseline="0">
              <a:latin typeface="+mn-lt"/>
            </a:rPr>
            <a:t> Elabore uma tabela de frequências absolutas e relativas.</a:t>
          </a:r>
        </a:p>
        <a:p>
          <a:pPr algn="l"/>
          <a:r>
            <a:rPr lang="pt-PT" sz="1200" b="1" i="0" u="none" strike="noStrike" baseline="0">
              <a:latin typeface="+mn-lt"/>
            </a:rPr>
            <a:t>8.3.</a:t>
          </a:r>
          <a:r>
            <a:rPr lang="pt-PT" sz="1200" b="0" i="0" u="none" strike="noStrike" baseline="0">
              <a:latin typeface="+mn-lt"/>
            </a:rPr>
            <a:t> Construa um gráfico de barras utilizando as frequências relativas.</a:t>
          </a:r>
        </a:p>
        <a:p>
          <a:pPr algn="l"/>
          <a:r>
            <a:rPr lang="pt-PT" sz="1200" b="1" i="0" u="none" strike="noStrike" baseline="0">
              <a:latin typeface="+mn-lt"/>
            </a:rPr>
            <a:t>8.4. </a:t>
          </a:r>
          <a:r>
            <a:rPr lang="pt-PT" sz="1200" b="0" i="0" u="none" strike="noStrike" baseline="0">
              <a:latin typeface="+mn-lt"/>
            </a:rPr>
            <a:t>Determine:</a:t>
          </a:r>
        </a:p>
        <a:p>
          <a:pPr algn="l"/>
          <a:r>
            <a:rPr lang="pt-PT" sz="1200" b="1" i="0" u="none" strike="noStrike" baseline="0">
              <a:latin typeface="+mn-lt"/>
            </a:rPr>
            <a:t>8.4.1</a:t>
          </a:r>
          <a:r>
            <a:rPr lang="pt-PT" sz="1200" b="0" i="0" u="none" strike="noStrike" baseline="0">
              <a:latin typeface="+mn-lt"/>
            </a:rPr>
            <a:t> a média, a mediana e a moda da amostra.</a:t>
          </a:r>
        </a:p>
        <a:p>
          <a:pPr algn="l"/>
          <a:r>
            <a:rPr lang="pt-PT" sz="1200" b="1" i="0" u="none" strike="noStrike" baseline="0">
              <a:latin typeface="+mn-lt"/>
            </a:rPr>
            <a:t>8.4.2</a:t>
          </a:r>
          <a:r>
            <a:rPr lang="pt-PT" sz="1200" b="0" i="0" u="none" strike="noStrike" baseline="0">
              <a:latin typeface="+mn-lt"/>
            </a:rPr>
            <a:t> a amplitude da amostra, variância e o desvio padrão da amostra.</a:t>
          </a:r>
        </a:p>
        <a:p>
          <a:pPr algn="l"/>
          <a:r>
            <a:rPr lang="pt-PT" sz="1200" b="1" i="0" u="none" strike="noStrike" baseline="0">
              <a:latin typeface="+mn-lt"/>
            </a:rPr>
            <a:t>8.4.3 </a:t>
          </a:r>
          <a:r>
            <a:rPr lang="pt-PT" sz="1200" b="0" i="0" u="none" strike="noStrike" baseline="0">
              <a:latin typeface="+mn-lt"/>
            </a:rPr>
            <a:t>a percentagem de alunos que têm menos de 2 irmãos.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  <xdr:twoCellAnchor>
    <xdr:from>
      <xdr:col>2</xdr:col>
      <xdr:colOff>33866</xdr:colOff>
      <xdr:row>29</xdr:row>
      <xdr:rowOff>12701</xdr:rowOff>
    </xdr:from>
    <xdr:to>
      <xdr:col>9</xdr:col>
      <xdr:colOff>338666</xdr:colOff>
      <xdr:row>43</xdr:row>
      <xdr:rowOff>88901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2D196B-E0BF-0651-219F-F026E2D9D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414002</xdr:colOff>
      <xdr:row>11</xdr:row>
      <xdr:rowOff>85725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2AE9C22-2DFD-456F-B77A-F10719132B8D}"/>
            </a:ext>
          </a:extLst>
        </xdr:cNvPr>
        <xdr:cNvSpPr txBox="1"/>
      </xdr:nvSpPr>
      <xdr:spPr>
        <a:xfrm>
          <a:off x="0" y="0"/>
          <a:ext cx="9558002" cy="21812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9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/>
            <a:t>No âmbito de um estudo sobre características físicas da população estudantil, recolheram-se dados relativos às </a:t>
          </a:r>
          <a:r>
            <a:rPr lang="pt-PT" sz="1200" b="1"/>
            <a:t>alturas dos alunos da ESTGA</a:t>
          </a:r>
          <a:r>
            <a:rPr lang="pt-PT" sz="1200"/>
            <a:t>. O objetivo é analisar a distribuição das alturas, avaliar a variabilidade entre os estudantes e identificar possíveis padrões. Os valores registados encontram-se apresentados abaixo.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Agrupe os dados em classes usando a regra de Sturges e contrua uma tabela de frequências absolutas e relativas.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u="none" strike="noStrike" baseline="0">
              <a:latin typeface="+mn-lt"/>
            </a:rPr>
            <a:t>9.2.</a:t>
          </a:r>
          <a:r>
            <a:rPr lang="pt-PT" sz="1200" b="0" i="0" u="none" strike="noStrike" baseline="0">
              <a:latin typeface="+mn-lt"/>
            </a:rPr>
            <a:t> Construa um histograma utilizando as frequências relativas.</a:t>
          </a:r>
        </a:p>
        <a:p>
          <a:pPr algn="l"/>
          <a:r>
            <a:rPr lang="pt-PT" sz="1200" b="1" i="0" u="none" strike="noStrike" baseline="0">
              <a:latin typeface="+mn-lt"/>
            </a:rPr>
            <a:t>9.3.</a:t>
          </a:r>
          <a:r>
            <a:rPr lang="pt-PT" sz="1200" b="0" i="0" u="none" strike="noStrike" baseline="0">
              <a:latin typeface="+mn-lt"/>
            </a:rPr>
            <a:t>  Complete as seguintes afirmações:</a:t>
          </a:r>
        </a:p>
        <a:p>
          <a:pPr algn="l"/>
          <a:r>
            <a:rPr lang="pt-PT" sz="1200" b="1" i="0" u="none" strike="noStrike" baseline="0">
              <a:latin typeface="+mn-lt"/>
            </a:rPr>
            <a:t>9.3.1 </a:t>
          </a:r>
          <a:r>
            <a:rPr lang="pt-PT" sz="1200" b="0" i="0" u="none" strike="noStrike" baseline="0">
              <a:latin typeface="+mn-lt"/>
            </a:rPr>
            <a:t>A altura dos alunos varia entre __________ e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9.3.2 </a:t>
          </a:r>
          <a:r>
            <a:rPr lang="pt-PT" sz="1200" b="0" i="0" u="none" strike="noStrike" baseline="0">
              <a:latin typeface="+mn-lt"/>
            </a:rPr>
            <a:t>A altura média dos alunos é __________, sendo a mais frequente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9.3.3</a:t>
          </a:r>
          <a:r>
            <a:rPr lang="pt-PT" sz="1200" b="0" i="0" u="none" strike="noStrike" baseline="0">
              <a:latin typeface="+mn-lt"/>
            </a:rPr>
            <a:t> A amplitude dos valores da amostra é __________ e o desvio padrão é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9.3.4</a:t>
          </a:r>
          <a:r>
            <a:rPr lang="pt-PT" sz="1200" b="0" i="0" u="none" strike="noStrike" baseline="0">
              <a:latin typeface="+mn-lt"/>
            </a:rPr>
            <a:t> A altura mínima de um aluno que pertence ao grupo dos 50% mais altos é __________.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  <xdr:twoCellAnchor>
    <xdr:from>
      <xdr:col>3</xdr:col>
      <xdr:colOff>48097</xdr:colOff>
      <xdr:row>36</xdr:row>
      <xdr:rowOff>25151</xdr:rowOff>
    </xdr:from>
    <xdr:to>
      <xdr:col>10</xdr:col>
      <xdr:colOff>237968</xdr:colOff>
      <xdr:row>50</xdr:row>
      <xdr:rowOff>83747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C1D2401-26AF-0600-1033-FFF640553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121611</xdr:colOff>
      <xdr:row>8</xdr:row>
      <xdr:rowOff>38100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408BD7C-53BD-4145-94A9-BC0A56C9F3AB}"/>
            </a:ext>
          </a:extLst>
        </xdr:cNvPr>
        <xdr:cNvSpPr txBox="1"/>
      </xdr:nvSpPr>
      <xdr:spPr>
        <a:xfrm>
          <a:off x="0" y="0"/>
          <a:ext cx="9265611" cy="15621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10</a:t>
          </a:r>
        </a:p>
        <a:p>
          <a:pPr algn="l"/>
          <a:r>
            <a:rPr lang="pt-PT" sz="1200"/>
            <a:t>Durante o desenvolvimento de um projeto de software foi registado o número de linhas de código adicionadas por 40 programadores em diferentes dias de trabalho.</a:t>
          </a:r>
          <a:br>
            <a:rPr lang="pt-PT" sz="1200"/>
          </a:br>
          <a:r>
            <a:rPr lang="pt-PT" sz="1200"/>
            <a:t>Os resultados recolhidos encontram-se apresentados abaixo.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Identifique a variável em estudo e elabore uma tabela de frequências.</a:t>
          </a:r>
          <a:endParaRPr lang="pt-PT" sz="1200"/>
        </a:p>
        <a:p>
          <a:pPr algn="l"/>
          <a:r>
            <a:rPr lang="pt-PT" sz="1200" b="1" i="0" u="none" strike="noStrike" baseline="0">
              <a:latin typeface="+mn-lt"/>
            </a:rPr>
            <a:t>10.2.</a:t>
          </a:r>
          <a:r>
            <a:rPr lang="pt-PT" sz="1200" b="0" i="0" u="none" strike="noStrike" baseline="0">
              <a:latin typeface="+mn-lt"/>
            </a:rPr>
            <a:t> Determine a média e o desvio padrão da amostra do número de linhas de código adicionadas. Apresente os valores arredondados às décimas.</a:t>
          </a:r>
        </a:p>
        <a:p>
          <a:pPr algn="l"/>
          <a:r>
            <a:rPr lang="pt-PT" sz="1200" b="1" i="0" u="none" strike="noStrike" baseline="0">
              <a:latin typeface="+mn-lt"/>
            </a:rPr>
            <a:t>10.3.</a:t>
          </a:r>
          <a:r>
            <a:rPr lang="pt-PT" sz="1200" b="0" i="0" u="none" strike="noStrike" baseline="0">
              <a:latin typeface="+mn-lt"/>
            </a:rPr>
            <a:t> Qual a percentagem de programadores que acrescentou no máximo 25 linhas?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454823</xdr:colOff>
      <xdr:row>11</xdr:row>
      <xdr:rowOff>99332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B8394112-E4CF-45DE-AE2B-81E09F0D1F5D}"/>
            </a:ext>
          </a:extLst>
        </xdr:cNvPr>
        <xdr:cNvSpPr txBox="1"/>
      </xdr:nvSpPr>
      <xdr:spPr>
        <a:xfrm>
          <a:off x="0" y="0"/>
          <a:ext cx="9598823" cy="219483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11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/>
            <a:t>Uma empresa de cibersegurança registou os tempos de resposta (em milissegundos) de um sistema de defesa contra ataques DDoS ao longo de 150 incidentes. Os tempos de resposta medidos encontram-se apresentados abaixo.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Agrupe os dados em classes usando a regra de Sturges e contrua uma tabela de frequências absolutas e relativas.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u="none" strike="noStrike" baseline="0">
              <a:latin typeface="+mn-lt"/>
            </a:rPr>
            <a:t>11.2.</a:t>
          </a:r>
          <a:r>
            <a:rPr lang="pt-PT" sz="1200" b="0" i="0" u="none" strike="noStrike" baseline="0">
              <a:latin typeface="+mn-lt"/>
            </a:rPr>
            <a:t> Construa um histograma utilizando as frequências absolutas.</a:t>
          </a:r>
        </a:p>
        <a:p>
          <a:pPr algn="l"/>
          <a:r>
            <a:rPr lang="pt-PT" sz="1200" b="1" i="0" u="none" strike="noStrike" baseline="0">
              <a:latin typeface="+mn-lt"/>
            </a:rPr>
            <a:t>11.3.</a:t>
          </a:r>
          <a:r>
            <a:rPr lang="pt-PT" sz="1200" b="0" i="0" u="none" strike="noStrike" baseline="0">
              <a:latin typeface="+mn-lt"/>
            </a:rPr>
            <a:t>  Complete as seguintes afirmações:</a:t>
          </a:r>
        </a:p>
        <a:p>
          <a:pPr algn="l"/>
          <a:r>
            <a:rPr lang="pt-PT" sz="1200" b="1" i="0" u="none" strike="noStrike" baseline="0">
              <a:latin typeface="+mn-lt"/>
            </a:rPr>
            <a:t>11.3.1 </a:t>
          </a:r>
          <a:r>
            <a:rPr lang="pt-PT" sz="1200" b="0" i="0" u="none" strike="noStrike" baseline="0">
              <a:latin typeface="+mn-lt"/>
            </a:rPr>
            <a:t>O tempo de resposta do sistema de defesa  varia entre __________ e __________, sendo a amplitude dos valores da amostra __________ ..</a:t>
          </a:r>
        </a:p>
        <a:p>
          <a:pPr algn="l"/>
          <a:r>
            <a:rPr lang="pt-PT" sz="1200" b="1" i="0" u="none" strike="noStrike" baseline="0">
              <a:latin typeface="+mn-lt"/>
            </a:rPr>
            <a:t>11.3.2 </a:t>
          </a:r>
          <a:r>
            <a:rPr lang="pt-PT" sz="1200" b="0" i="0" u="none" strike="noStrike" baseline="0">
              <a:latin typeface="+mn-lt"/>
            </a:rPr>
            <a:t>O tempo médio de resposta é __________, sendo o mais frequente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11.3.3</a:t>
          </a:r>
          <a:r>
            <a:rPr lang="pt-PT" sz="1200" b="0" i="0" u="none" strike="noStrike" baseline="0">
              <a:latin typeface="+mn-lt"/>
            </a:rPr>
            <a:t>  O tempo máximo de resposta que pertence ao grupo dos 50% mais rápidos é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11.3.4</a:t>
          </a:r>
          <a:r>
            <a:rPr lang="pt-PT" sz="1200" b="0" i="0" u="none" strike="noStrike" baseline="0">
              <a:latin typeface="+mn-lt"/>
            </a:rPr>
            <a:t>. A variância e o desvio padrão amostral são respetivamente, __________ e 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11.3.5</a:t>
          </a:r>
          <a:r>
            <a:rPr lang="pt-PT" sz="1200" b="0" i="0" u="none" strike="noStrike" baseline="0">
              <a:latin typeface="+mn-lt"/>
            </a:rPr>
            <a:t> A percentagem de tempos inferiores a 140 mlissegundos  é de __________.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  <xdr:twoCellAnchor>
    <xdr:from>
      <xdr:col>3</xdr:col>
      <xdr:colOff>60145</xdr:colOff>
      <xdr:row>35</xdr:row>
      <xdr:rowOff>113546</xdr:rowOff>
    </xdr:from>
    <xdr:to>
      <xdr:col>10</xdr:col>
      <xdr:colOff>378939</xdr:colOff>
      <xdr:row>50</xdr:row>
      <xdr:rowOff>506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DA28D73-F79A-DF54-FF56-FAE712FAF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454823</xdr:colOff>
      <xdr:row>11</xdr:row>
      <xdr:rowOff>99332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B04AE0E-9FCC-4A4D-85D9-EE916ADC9B29}"/>
            </a:ext>
          </a:extLst>
        </xdr:cNvPr>
        <xdr:cNvSpPr txBox="1"/>
      </xdr:nvSpPr>
      <xdr:spPr>
        <a:xfrm>
          <a:off x="0" y="0"/>
          <a:ext cx="9598823" cy="219483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Exercício 12</a:t>
          </a:r>
        </a:p>
        <a:p>
          <a:r>
            <a:rPr lang="pt-PT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Com um objetivo de realizar um estudo sobre o tempo (em minutos) dedicado pelos alunos da ESTGA ao estudo semanal da unidade de MQI foram recolhidos os dados de uma amostra aleatória de dimensão 120, que se encontram</a:t>
          </a:r>
          <a:r>
            <a:rPr lang="pt-PT" sz="1200"/>
            <a:t> registados abaixo.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12.1.</a:t>
          </a:r>
          <a:r>
            <a:rPr lang="pt-PT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Agrupe os dados em classes usando a regra de Sturges e contrua uma tabela de frequências absolutas e relativas.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i="0" u="none" strike="noStrike" baseline="0">
              <a:latin typeface="+mn-lt"/>
            </a:rPr>
            <a:t>12.2.</a:t>
          </a:r>
          <a:r>
            <a:rPr lang="pt-PT" sz="1200" b="0" i="0" u="none" strike="noStrike" baseline="0">
              <a:latin typeface="+mn-lt"/>
            </a:rPr>
            <a:t> Construa um histograma utilizando as frequências relativas.</a:t>
          </a:r>
        </a:p>
        <a:p>
          <a:pPr algn="l"/>
          <a:r>
            <a:rPr lang="pt-PT" sz="1200" b="1" i="0" u="none" strike="noStrike" baseline="0">
              <a:latin typeface="+mn-lt"/>
            </a:rPr>
            <a:t>12.3.</a:t>
          </a:r>
          <a:r>
            <a:rPr lang="pt-PT" sz="1200" b="0" i="0" u="none" strike="noStrike" baseline="0">
              <a:latin typeface="+mn-lt"/>
            </a:rPr>
            <a:t>  Complete as seguintes afirmações:</a:t>
          </a:r>
        </a:p>
        <a:p>
          <a:pPr algn="l"/>
          <a:r>
            <a:rPr lang="pt-PT" sz="1200" b="1" i="0" u="none" strike="noStrike" baseline="0">
              <a:latin typeface="+mn-lt"/>
            </a:rPr>
            <a:t>12.3.1 </a:t>
          </a:r>
          <a:r>
            <a:rPr lang="pt-PT" sz="1200" b="0" i="0" u="none" strike="noStrike" baseline="0">
              <a:latin typeface="+mn-lt"/>
            </a:rPr>
            <a:t>O tempo médio de estudo semanal é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12.3.2</a:t>
          </a:r>
          <a:r>
            <a:rPr lang="pt-PT" sz="1200" b="0" i="0" u="none" strike="noStrike" baseline="0">
              <a:latin typeface="+mn-lt"/>
            </a:rPr>
            <a:t>  O tempo mínimo de estudo semanal que pertence ao grupo dos 50% que mais tempo dedica ao estudo de MQI é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12.3.3</a:t>
          </a:r>
          <a:r>
            <a:rPr lang="pt-PT" sz="1200" b="0" i="0" u="none" strike="noStrike" baseline="0">
              <a:latin typeface="+mn-lt"/>
            </a:rPr>
            <a:t>. A variância e o desvio padrão amostral são respetivamente, __________ e  __________.</a:t>
          </a:r>
        </a:p>
        <a:p>
          <a:pPr algn="l"/>
          <a:r>
            <a:rPr lang="pt-PT" sz="1200" b="1" i="0" u="none" strike="noStrike" baseline="0">
              <a:latin typeface="+mn-lt"/>
            </a:rPr>
            <a:t>12.4. </a:t>
          </a:r>
          <a:r>
            <a:rPr lang="pt-PT" sz="1200" b="0" i="0" u="none" strike="noStrike" baseline="0">
              <a:latin typeface="+mn-lt"/>
            </a:rPr>
            <a:t>A unidade de MQI tem 6 ECTS o que significa que o estudante deve trabalhar semanalmente, fora das aulas, cerca de 3,2 horas. Determine a percentagem de alunos que trabalha menos do que deveria.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endParaRPr lang="pt-PT" sz="1200" b="0" i="0" u="none" strike="noStrike" baseline="0">
            <a:latin typeface="+mn-lt"/>
          </a:endParaRPr>
        </a:p>
        <a:p>
          <a:pPr algn="l"/>
          <a:r>
            <a:rPr lang="pt-PT" sz="1200" b="0" i="0" u="none" strike="noStrike" baseline="0">
              <a:latin typeface="+mn-lt"/>
            </a:rPr>
            <a:t>AMOSTRA</a:t>
          </a:r>
        </a:p>
        <a:p>
          <a:pPr algn="l"/>
          <a:endParaRPr lang="pt-PT" sz="1200" b="0" i="0" u="none" strike="noStrike" baseline="0">
            <a:latin typeface="+mn-lt"/>
          </a:endParaRPr>
        </a:p>
        <a:p>
          <a:endParaRPr lang="pt-PT" sz="1100"/>
        </a:p>
      </xdr:txBody>
    </xdr:sp>
    <xdr:clientData/>
  </xdr:twoCellAnchor>
  <xdr:twoCellAnchor>
    <xdr:from>
      <xdr:col>2</xdr:col>
      <xdr:colOff>22356</xdr:colOff>
      <xdr:row>36</xdr:row>
      <xdr:rowOff>35280</xdr:rowOff>
    </xdr:from>
    <xdr:to>
      <xdr:col>9</xdr:col>
      <xdr:colOff>244930</xdr:colOff>
      <xdr:row>50</xdr:row>
      <xdr:rowOff>125088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DD20DB-41BE-380D-35DF-AC16D16E11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98E43-D323-46C2-AD0B-9F269DDC102A}">
  <dimension ref="A13:J37"/>
  <sheetViews>
    <sheetView zoomScale="75" workbookViewId="0">
      <selection activeCell="R41" sqref="R41"/>
    </sheetView>
  </sheetViews>
  <sheetFormatPr defaultRowHeight="14.25" x14ac:dyDescent="0.45"/>
  <cols>
    <col min="4" max="4" width="6.86328125" customWidth="1"/>
    <col min="5" max="5" width="7" customWidth="1"/>
    <col min="6" max="6" width="8.59765625" customWidth="1"/>
    <col min="7" max="7" width="28.1328125" customWidth="1"/>
  </cols>
  <sheetData>
    <row r="13" spans="1:6" x14ac:dyDescent="0.45">
      <c r="A13" s="1" t="s">
        <v>0</v>
      </c>
      <c r="C13" s="1" t="s">
        <v>6</v>
      </c>
      <c r="D13" t="s">
        <v>7</v>
      </c>
    </row>
    <row r="14" spans="1:6" x14ac:dyDescent="0.45">
      <c r="A14" s="2" t="s">
        <v>1</v>
      </c>
      <c r="D14" t="s">
        <v>8</v>
      </c>
    </row>
    <row r="15" spans="1:6" x14ac:dyDescent="0.45">
      <c r="A15" s="2" t="s">
        <v>2</v>
      </c>
    </row>
    <row r="16" spans="1:6" x14ac:dyDescent="0.45">
      <c r="A16" s="2" t="s">
        <v>2</v>
      </c>
      <c r="C16" s="1" t="s">
        <v>9</v>
      </c>
      <c r="D16" s="93" t="s">
        <v>10</v>
      </c>
      <c r="E16" s="93"/>
      <c r="F16" s="93"/>
    </row>
    <row r="17" spans="1:10" x14ac:dyDescent="0.45">
      <c r="A17" s="2" t="s">
        <v>3</v>
      </c>
      <c r="C17" s="1"/>
      <c r="D17" s="26" t="s">
        <v>11</v>
      </c>
      <c r="E17" s="26" t="s">
        <v>12</v>
      </c>
      <c r="F17" s="26" t="s">
        <v>13</v>
      </c>
    </row>
    <row r="18" spans="1:10" x14ac:dyDescent="0.45">
      <c r="A18" s="2" t="s">
        <v>2</v>
      </c>
      <c r="C18" s="10"/>
      <c r="D18" s="23" t="s">
        <v>1</v>
      </c>
      <c r="E18" s="24">
        <f>COUNTIF($A$14:$A$37,D18)</f>
        <v>9</v>
      </c>
      <c r="F18" s="25">
        <f>E18/24</f>
        <v>0.375</v>
      </c>
    </row>
    <row r="19" spans="1:10" x14ac:dyDescent="0.45">
      <c r="A19" s="2" t="s">
        <v>4</v>
      </c>
      <c r="C19" s="11"/>
      <c r="D19" s="23" t="s">
        <v>2</v>
      </c>
      <c r="E19" s="24">
        <f t="shared" ref="E19:E21" si="0">COUNTIF($A$14:$A$37,D19)</f>
        <v>6</v>
      </c>
      <c r="F19" s="25">
        <f t="shared" ref="F19:F21" si="1">E19/24</f>
        <v>0.25</v>
      </c>
    </row>
    <row r="20" spans="1:10" x14ac:dyDescent="0.45">
      <c r="A20" s="2" t="s">
        <v>1</v>
      </c>
      <c r="C20" s="11"/>
      <c r="D20" s="23" t="s">
        <v>3</v>
      </c>
      <c r="E20" s="24">
        <f t="shared" si="0"/>
        <v>6</v>
      </c>
      <c r="F20" s="25">
        <f t="shared" si="1"/>
        <v>0.25</v>
      </c>
    </row>
    <row r="21" spans="1:10" x14ac:dyDescent="0.45">
      <c r="A21" s="2" t="s">
        <v>1</v>
      </c>
      <c r="C21" s="11"/>
      <c r="D21" s="23" t="s">
        <v>4</v>
      </c>
      <c r="E21" s="24">
        <f t="shared" si="0"/>
        <v>3</v>
      </c>
      <c r="F21" s="25">
        <f t="shared" si="1"/>
        <v>0.125</v>
      </c>
    </row>
    <row r="22" spans="1:10" x14ac:dyDescent="0.45">
      <c r="A22" s="2" t="s">
        <v>1</v>
      </c>
      <c r="C22" s="11"/>
      <c r="D22" s="27" t="s">
        <v>16</v>
      </c>
      <c r="E22" s="28">
        <f>SUM(E18:E21)</f>
        <v>24</v>
      </c>
      <c r="F22" s="29">
        <f>SUM(F18:F21)</f>
        <v>1</v>
      </c>
    </row>
    <row r="23" spans="1:10" x14ac:dyDescent="0.45">
      <c r="A23" s="2" t="s">
        <v>3</v>
      </c>
      <c r="C23" s="5" t="s">
        <v>14</v>
      </c>
      <c r="D23" s="3"/>
      <c r="E23" s="4"/>
    </row>
    <row r="24" spans="1:10" x14ac:dyDescent="0.45">
      <c r="A24" s="2" t="s">
        <v>3</v>
      </c>
      <c r="C24" s="3" t="s">
        <v>15</v>
      </c>
      <c r="D24" s="3">
        <f>COUNTA(A14:A37)</f>
        <v>24</v>
      </c>
      <c r="E24" s="4"/>
    </row>
    <row r="25" spans="1:10" x14ac:dyDescent="0.45">
      <c r="A25" s="2" t="s">
        <v>2</v>
      </c>
      <c r="C25" s="5"/>
      <c r="D25" s="3"/>
      <c r="E25" s="3"/>
    </row>
    <row r="26" spans="1:10" x14ac:dyDescent="0.45">
      <c r="A26" s="2" t="s">
        <v>3</v>
      </c>
      <c r="C26" s="1" t="s">
        <v>17</v>
      </c>
      <c r="D26" t="s">
        <v>18</v>
      </c>
    </row>
    <row r="27" spans="1:10" x14ac:dyDescent="0.45">
      <c r="A27" s="2" t="s">
        <v>4</v>
      </c>
    </row>
    <row r="28" spans="1:10" x14ac:dyDescent="0.45">
      <c r="A28" s="2" t="s">
        <v>2</v>
      </c>
      <c r="C28" s="1" t="s">
        <v>19</v>
      </c>
      <c r="D28" t="s">
        <v>20</v>
      </c>
    </row>
    <row r="29" spans="1:10" x14ac:dyDescent="0.45">
      <c r="A29" s="2" t="s">
        <v>3</v>
      </c>
    </row>
    <row r="30" spans="1:10" x14ac:dyDescent="0.45">
      <c r="A30" s="2" t="s">
        <v>3</v>
      </c>
      <c r="C30" s="1" t="s">
        <v>21</v>
      </c>
      <c r="D30" t="s">
        <v>22</v>
      </c>
      <c r="J30" t="s">
        <v>23</v>
      </c>
    </row>
    <row r="31" spans="1:10" x14ac:dyDescent="0.45">
      <c r="A31" s="2" t="s">
        <v>2</v>
      </c>
    </row>
    <row r="32" spans="1:10" x14ac:dyDescent="0.45">
      <c r="A32" s="2" t="s">
        <v>1</v>
      </c>
    </row>
    <row r="33" spans="1:1" x14ac:dyDescent="0.45">
      <c r="A33" s="2" t="s">
        <v>1</v>
      </c>
    </row>
    <row r="34" spans="1:1" x14ac:dyDescent="0.45">
      <c r="A34" s="2" t="s">
        <v>1</v>
      </c>
    </row>
    <row r="35" spans="1:1" x14ac:dyDescent="0.45">
      <c r="A35" s="2" t="s">
        <v>1</v>
      </c>
    </row>
    <row r="36" spans="1:1" x14ac:dyDescent="0.45">
      <c r="A36" s="2" t="s">
        <v>1</v>
      </c>
    </row>
    <row r="37" spans="1:1" x14ac:dyDescent="0.45">
      <c r="A37" s="2" t="s">
        <v>4</v>
      </c>
    </row>
  </sheetData>
  <mergeCells count="1">
    <mergeCell ref="D16:F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6696-3815-46F8-BB95-760E690D4FE4}">
  <dimension ref="A14:Q115"/>
  <sheetViews>
    <sheetView topLeftCell="A50" zoomScaleNormal="100" workbookViewId="0">
      <selection activeCell="E63" sqref="E63"/>
    </sheetView>
  </sheetViews>
  <sheetFormatPr defaultRowHeight="14.25" x14ac:dyDescent="0.45"/>
  <cols>
    <col min="1" max="1" width="10.73046875" customWidth="1"/>
  </cols>
  <sheetData>
    <row r="14" spans="1:5" x14ac:dyDescent="0.45">
      <c r="C14" t="s">
        <v>31</v>
      </c>
      <c r="E14">
        <f>COUNT(A16:A115)</f>
        <v>100</v>
      </c>
    </row>
    <row r="15" spans="1:5" x14ac:dyDescent="0.45">
      <c r="A15" s="1" t="s">
        <v>0</v>
      </c>
    </row>
    <row r="16" spans="1:5" x14ac:dyDescent="0.45">
      <c r="A16">
        <v>3</v>
      </c>
      <c r="C16" s="1" t="s">
        <v>24</v>
      </c>
      <c r="D16" t="s">
        <v>25</v>
      </c>
    </row>
    <row r="17" spans="1:17" x14ac:dyDescent="0.45">
      <c r="A17">
        <v>1</v>
      </c>
      <c r="D17" t="s">
        <v>26</v>
      </c>
      <c r="Q17" s="30"/>
    </row>
    <row r="18" spans="1:17" x14ac:dyDescent="0.45">
      <c r="A18">
        <v>0</v>
      </c>
      <c r="E18" s="6"/>
    </row>
    <row r="19" spans="1:17" x14ac:dyDescent="0.45">
      <c r="A19">
        <v>2</v>
      </c>
      <c r="C19" s="1" t="s">
        <v>27</v>
      </c>
      <c r="D19" t="s">
        <v>10</v>
      </c>
      <c r="E19" s="6"/>
      <c r="G19" s="6"/>
    </row>
    <row r="20" spans="1:17" x14ac:dyDescent="0.45">
      <c r="A20">
        <v>2</v>
      </c>
      <c r="D20" t="s">
        <v>11</v>
      </c>
      <c r="E20" s="6" t="s">
        <v>12</v>
      </c>
      <c r="F20" t="s">
        <v>13</v>
      </c>
      <c r="G20" s="6" t="s">
        <v>28</v>
      </c>
      <c r="H20" t="s">
        <v>29</v>
      </c>
    </row>
    <row r="21" spans="1:17" x14ac:dyDescent="0.45">
      <c r="A21">
        <v>2</v>
      </c>
      <c r="D21">
        <v>0</v>
      </c>
      <c r="E21" s="31">
        <f>COUNTIF($A$16:$A$115,D21)</f>
        <v>13</v>
      </c>
      <c r="F21" s="6">
        <f>E21/100</f>
        <v>0.13</v>
      </c>
      <c r="G21" s="31">
        <f>E21</f>
        <v>13</v>
      </c>
      <c r="H21">
        <f>F21</f>
        <v>0.13</v>
      </c>
    </row>
    <row r="22" spans="1:17" x14ac:dyDescent="0.45">
      <c r="A22">
        <v>0</v>
      </c>
      <c r="D22">
        <v>1</v>
      </c>
      <c r="E22" s="31">
        <f t="shared" ref="E22:E27" si="0">COUNTIF($A$16:$A$115,D22)</f>
        <v>24</v>
      </c>
      <c r="F22" s="6">
        <f t="shared" ref="F22:F27" si="1">E22/100</f>
        <v>0.24</v>
      </c>
      <c r="G22" s="31">
        <f>G21+E22</f>
        <v>37</v>
      </c>
      <c r="H22" s="6">
        <f>H21+F22</f>
        <v>0.37</v>
      </c>
    </row>
    <row r="23" spans="1:17" x14ac:dyDescent="0.45">
      <c r="A23">
        <v>1</v>
      </c>
      <c r="D23">
        <v>2</v>
      </c>
      <c r="E23" s="31">
        <f t="shared" si="0"/>
        <v>22</v>
      </c>
      <c r="F23" s="6">
        <f t="shared" si="1"/>
        <v>0.22</v>
      </c>
      <c r="G23" s="31">
        <f t="shared" ref="G23:G26" si="2">G22+E23</f>
        <v>59</v>
      </c>
      <c r="H23" s="6">
        <f t="shared" ref="H23:H27" si="3">H22+F23</f>
        <v>0.59</v>
      </c>
    </row>
    <row r="24" spans="1:17" x14ac:dyDescent="0.45">
      <c r="A24">
        <v>5</v>
      </c>
      <c r="D24">
        <v>3</v>
      </c>
      <c r="E24" s="31">
        <f t="shared" si="0"/>
        <v>14</v>
      </c>
      <c r="F24" s="6">
        <f t="shared" si="1"/>
        <v>0.14000000000000001</v>
      </c>
      <c r="G24" s="31">
        <f t="shared" si="2"/>
        <v>73</v>
      </c>
      <c r="H24" s="6">
        <f t="shared" si="3"/>
        <v>0.73</v>
      </c>
    </row>
    <row r="25" spans="1:17" x14ac:dyDescent="0.45">
      <c r="A25">
        <v>2</v>
      </c>
      <c r="D25">
        <v>4</v>
      </c>
      <c r="E25" s="31">
        <f t="shared" si="0"/>
        <v>12</v>
      </c>
      <c r="F25" s="6">
        <f t="shared" si="1"/>
        <v>0.12</v>
      </c>
      <c r="G25" s="31">
        <f t="shared" si="2"/>
        <v>85</v>
      </c>
      <c r="H25" s="6">
        <f t="shared" si="3"/>
        <v>0.85</v>
      </c>
    </row>
    <row r="26" spans="1:17" x14ac:dyDescent="0.45">
      <c r="A26">
        <v>3</v>
      </c>
      <c r="D26">
        <v>5</v>
      </c>
      <c r="E26" s="31">
        <f t="shared" si="0"/>
        <v>11</v>
      </c>
      <c r="F26" s="6">
        <f t="shared" si="1"/>
        <v>0.11</v>
      </c>
      <c r="G26" s="31">
        <f t="shared" si="2"/>
        <v>96</v>
      </c>
      <c r="H26" s="6">
        <f t="shared" si="3"/>
        <v>0.96</v>
      </c>
    </row>
    <row r="27" spans="1:17" x14ac:dyDescent="0.45">
      <c r="A27">
        <v>4</v>
      </c>
      <c r="D27">
        <v>6</v>
      </c>
      <c r="E27" s="31">
        <f t="shared" si="0"/>
        <v>4</v>
      </c>
      <c r="F27" s="6">
        <f t="shared" si="1"/>
        <v>0.04</v>
      </c>
      <c r="G27" s="31">
        <f>G26+E27</f>
        <v>100</v>
      </c>
      <c r="H27" s="6">
        <f t="shared" si="3"/>
        <v>1</v>
      </c>
    </row>
    <row r="28" spans="1:17" x14ac:dyDescent="0.45">
      <c r="A28">
        <v>0</v>
      </c>
      <c r="D28" t="s">
        <v>30</v>
      </c>
      <c r="E28" s="32">
        <f>SUM(E21:E27)</f>
        <v>100</v>
      </c>
    </row>
    <row r="29" spans="1:17" x14ac:dyDescent="0.45">
      <c r="A29">
        <v>0</v>
      </c>
    </row>
    <row r="30" spans="1:17" x14ac:dyDescent="0.45">
      <c r="A30">
        <v>1</v>
      </c>
      <c r="C30" s="1" t="s">
        <v>32</v>
      </c>
    </row>
    <row r="31" spans="1:17" x14ac:dyDescent="0.45">
      <c r="A31">
        <v>5</v>
      </c>
      <c r="C31" t="s">
        <v>22</v>
      </c>
      <c r="K31" t="s">
        <v>23</v>
      </c>
    </row>
    <row r="32" spans="1:17" x14ac:dyDescent="0.45">
      <c r="A32">
        <v>5</v>
      </c>
    </row>
    <row r="33" spans="1:3" x14ac:dyDescent="0.45">
      <c r="A33">
        <v>2</v>
      </c>
    </row>
    <row r="34" spans="1:3" x14ac:dyDescent="0.45">
      <c r="A34">
        <v>3</v>
      </c>
    </row>
    <row r="35" spans="1:3" x14ac:dyDescent="0.45">
      <c r="A35">
        <v>1</v>
      </c>
    </row>
    <row r="36" spans="1:3" x14ac:dyDescent="0.45">
      <c r="A36">
        <v>6</v>
      </c>
    </row>
    <row r="37" spans="1:3" x14ac:dyDescent="0.45">
      <c r="A37">
        <v>1</v>
      </c>
    </row>
    <row r="38" spans="1:3" x14ac:dyDescent="0.45">
      <c r="A38">
        <v>2</v>
      </c>
    </row>
    <row r="39" spans="1:3" x14ac:dyDescent="0.45">
      <c r="A39">
        <v>1</v>
      </c>
    </row>
    <row r="40" spans="1:3" x14ac:dyDescent="0.45">
      <c r="A40">
        <v>0</v>
      </c>
    </row>
    <row r="41" spans="1:3" x14ac:dyDescent="0.45">
      <c r="A41">
        <v>5</v>
      </c>
    </row>
    <row r="42" spans="1:3" x14ac:dyDescent="0.45">
      <c r="A42">
        <v>3</v>
      </c>
    </row>
    <row r="43" spans="1:3" x14ac:dyDescent="0.45">
      <c r="A43">
        <v>1</v>
      </c>
    </row>
    <row r="44" spans="1:3" x14ac:dyDescent="0.45">
      <c r="A44">
        <v>2</v>
      </c>
    </row>
    <row r="45" spans="1:3" x14ac:dyDescent="0.45">
      <c r="A45">
        <v>2</v>
      </c>
    </row>
    <row r="46" spans="1:3" x14ac:dyDescent="0.45">
      <c r="A46">
        <v>3</v>
      </c>
    </row>
    <row r="47" spans="1:3" x14ac:dyDescent="0.45">
      <c r="A47">
        <v>6</v>
      </c>
    </row>
    <row r="48" spans="1:3" x14ac:dyDescent="0.45">
      <c r="A48">
        <v>1</v>
      </c>
      <c r="C48" s="1" t="s">
        <v>82</v>
      </c>
    </row>
    <row r="49" spans="1:11" x14ac:dyDescent="0.45">
      <c r="A49">
        <v>0</v>
      </c>
      <c r="C49" t="s">
        <v>83</v>
      </c>
    </row>
    <row r="50" spans="1:11" x14ac:dyDescent="0.45">
      <c r="A50">
        <v>1</v>
      </c>
    </row>
    <row r="51" spans="1:11" x14ac:dyDescent="0.45">
      <c r="A51">
        <v>1</v>
      </c>
      <c r="C51" s="1" t="s">
        <v>85</v>
      </c>
    </row>
    <row r="52" spans="1:11" x14ac:dyDescent="0.45">
      <c r="A52">
        <v>2</v>
      </c>
      <c r="C52" t="s">
        <v>84</v>
      </c>
    </row>
    <row r="53" spans="1:11" x14ac:dyDescent="0.45">
      <c r="A53">
        <v>3</v>
      </c>
    </row>
    <row r="54" spans="1:11" x14ac:dyDescent="0.45">
      <c r="A54">
        <v>3</v>
      </c>
      <c r="C54" s="1" t="s">
        <v>87</v>
      </c>
    </row>
    <row r="55" spans="1:11" x14ac:dyDescent="0.45">
      <c r="A55">
        <v>5</v>
      </c>
      <c r="C55" t="s">
        <v>86</v>
      </c>
    </row>
    <row r="56" spans="1:11" ht="14.65" thickBot="1" x14ac:dyDescent="0.5">
      <c r="A56">
        <v>0</v>
      </c>
    </row>
    <row r="57" spans="1:11" x14ac:dyDescent="0.45">
      <c r="A57">
        <v>1</v>
      </c>
      <c r="C57" s="1" t="s">
        <v>88</v>
      </c>
      <c r="J57" s="35" t="s">
        <v>48</v>
      </c>
      <c r="K57" s="35"/>
    </row>
    <row r="58" spans="1:11" x14ac:dyDescent="0.45">
      <c r="A58">
        <v>3</v>
      </c>
      <c r="C58" s="1" t="s">
        <v>89</v>
      </c>
      <c r="D58" t="s">
        <v>41</v>
      </c>
      <c r="E58">
        <v>2.37</v>
      </c>
    </row>
    <row r="59" spans="1:11" x14ac:dyDescent="0.45">
      <c r="A59">
        <v>2</v>
      </c>
      <c r="D59" t="s">
        <v>43</v>
      </c>
      <c r="E59">
        <v>1</v>
      </c>
      <c r="J59" t="s">
        <v>49</v>
      </c>
      <c r="K59">
        <v>2.37</v>
      </c>
    </row>
    <row r="60" spans="1:11" x14ac:dyDescent="0.45">
      <c r="A60">
        <v>5</v>
      </c>
      <c r="J60" t="s">
        <v>50</v>
      </c>
      <c r="K60">
        <v>0.17035613320691484</v>
      </c>
    </row>
    <row r="61" spans="1:11" x14ac:dyDescent="0.45">
      <c r="A61">
        <v>6</v>
      </c>
      <c r="C61" s="1" t="s">
        <v>90</v>
      </c>
      <c r="D61" t="s">
        <v>64</v>
      </c>
      <c r="E61">
        <v>2.9</v>
      </c>
      <c r="J61" t="s">
        <v>51</v>
      </c>
      <c r="K61">
        <v>2</v>
      </c>
    </row>
    <row r="62" spans="1:11" x14ac:dyDescent="0.45">
      <c r="A62">
        <v>1</v>
      </c>
      <c r="D62" t="s">
        <v>65</v>
      </c>
      <c r="E62">
        <v>1.7</v>
      </c>
      <c r="J62" t="s">
        <v>52</v>
      </c>
      <c r="K62">
        <v>1</v>
      </c>
    </row>
    <row r="63" spans="1:11" x14ac:dyDescent="0.45">
      <c r="A63">
        <v>0</v>
      </c>
      <c r="J63" t="s">
        <v>53</v>
      </c>
      <c r="K63">
        <v>1.7035613320691485</v>
      </c>
    </row>
    <row r="64" spans="1:11" x14ac:dyDescent="0.45">
      <c r="A64">
        <v>1</v>
      </c>
      <c r="J64" t="s">
        <v>54</v>
      </c>
      <c r="K64">
        <v>2.9021212121212114</v>
      </c>
    </row>
    <row r="65" spans="1:11" x14ac:dyDescent="0.45">
      <c r="A65">
        <v>1</v>
      </c>
      <c r="J65" t="s">
        <v>55</v>
      </c>
      <c r="K65">
        <v>-0.79584316869168692</v>
      </c>
    </row>
    <row r="66" spans="1:11" x14ac:dyDescent="0.45">
      <c r="A66">
        <v>4</v>
      </c>
      <c r="J66" t="s">
        <v>56</v>
      </c>
      <c r="K66">
        <v>0.43993677002921927</v>
      </c>
    </row>
    <row r="67" spans="1:11" x14ac:dyDescent="0.45">
      <c r="A67">
        <v>3</v>
      </c>
      <c r="J67" t="s">
        <v>57</v>
      </c>
      <c r="K67">
        <v>6</v>
      </c>
    </row>
    <row r="68" spans="1:11" x14ac:dyDescent="0.45">
      <c r="A68">
        <v>4</v>
      </c>
      <c r="J68" t="s">
        <v>58</v>
      </c>
      <c r="K68">
        <v>0</v>
      </c>
    </row>
    <row r="69" spans="1:11" x14ac:dyDescent="0.45">
      <c r="A69">
        <v>4</v>
      </c>
      <c r="J69" t="s">
        <v>59</v>
      </c>
      <c r="K69">
        <v>6</v>
      </c>
    </row>
    <row r="70" spans="1:11" x14ac:dyDescent="0.45">
      <c r="A70">
        <v>2</v>
      </c>
      <c r="J70" t="s">
        <v>60</v>
      </c>
      <c r="K70">
        <v>237</v>
      </c>
    </row>
    <row r="71" spans="1:11" ht="14.65" thickBot="1" x14ac:dyDescent="0.5">
      <c r="A71">
        <v>5</v>
      </c>
      <c r="J71" s="34" t="s">
        <v>61</v>
      </c>
      <c r="K71" s="34">
        <v>100</v>
      </c>
    </row>
    <row r="72" spans="1:11" x14ac:dyDescent="0.45">
      <c r="A72">
        <v>2</v>
      </c>
    </row>
    <row r="73" spans="1:11" x14ac:dyDescent="0.45">
      <c r="A73">
        <v>5</v>
      </c>
    </row>
    <row r="74" spans="1:11" x14ac:dyDescent="0.45">
      <c r="A74">
        <v>4</v>
      </c>
    </row>
    <row r="75" spans="1:11" x14ac:dyDescent="0.45">
      <c r="A75">
        <v>3</v>
      </c>
    </row>
    <row r="76" spans="1:11" x14ac:dyDescent="0.45">
      <c r="A76">
        <v>1</v>
      </c>
    </row>
    <row r="77" spans="1:11" x14ac:dyDescent="0.45">
      <c r="A77">
        <v>0</v>
      </c>
    </row>
    <row r="78" spans="1:11" x14ac:dyDescent="0.45">
      <c r="A78">
        <v>1</v>
      </c>
    </row>
    <row r="79" spans="1:11" x14ac:dyDescent="0.45">
      <c r="A79">
        <v>2</v>
      </c>
    </row>
    <row r="80" spans="1:11" x14ac:dyDescent="0.45">
      <c r="A80">
        <v>3</v>
      </c>
    </row>
    <row r="81" spans="1:1" x14ac:dyDescent="0.45">
      <c r="A81">
        <v>4</v>
      </c>
    </row>
    <row r="82" spans="1:1" x14ac:dyDescent="0.45">
      <c r="A82">
        <v>4</v>
      </c>
    </row>
    <row r="83" spans="1:1" x14ac:dyDescent="0.45">
      <c r="A83">
        <v>5</v>
      </c>
    </row>
    <row r="84" spans="1:1" x14ac:dyDescent="0.45">
      <c r="A84">
        <v>4</v>
      </c>
    </row>
    <row r="85" spans="1:1" x14ac:dyDescent="0.45">
      <c r="A85">
        <v>1</v>
      </c>
    </row>
    <row r="86" spans="1:1" x14ac:dyDescent="0.45">
      <c r="A86">
        <v>0</v>
      </c>
    </row>
    <row r="87" spans="1:1" x14ac:dyDescent="0.45">
      <c r="A87">
        <v>0</v>
      </c>
    </row>
    <row r="88" spans="1:1" x14ac:dyDescent="0.45">
      <c r="A88">
        <v>2</v>
      </c>
    </row>
    <row r="89" spans="1:1" x14ac:dyDescent="0.45">
      <c r="A89">
        <v>5</v>
      </c>
    </row>
    <row r="90" spans="1:1" x14ac:dyDescent="0.45">
      <c r="A90">
        <v>2</v>
      </c>
    </row>
    <row r="91" spans="1:1" x14ac:dyDescent="0.45">
      <c r="A91">
        <v>2</v>
      </c>
    </row>
    <row r="92" spans="1:1" x14ac:dyDescent="0.45">
      <c r="A92">
        <v>3</v>
      </c>
    </row>
    <row r="93" spans="1:1" x14ac:dyDescent="0.45">
      <c r="A93">
        <v>6</v>
      </c>
    </row>
    <row r="94" spans="1:1" x14ac:dyDescent="0.45">
      <c r="A94">
        <v>1</v>
      </c>
    </row>
    <row r="95" spans="1:1" x14ac:dyDescent="0.45">
      <c r="A95">
        <v>1</v>
      </c>
    </row>
    <row r="96" spans="1:1" x14ac:dyDescent="0.45">
      <c r="A96">
        <v>4</v>
      </c>
    </row>
    <row r="97" spans="1:1" x14ac:dyDescent="0.45">
      <c r="A97">
        <v>5</v>
      </c>
    </row>
    <row r="98" spans="1:1" x14ac:dyDescent="0.45">
      <c r="A98">
        <v>2</v>
      </c>
    </row>
    <row r="99" spans="1:1" x14ac:dyDescent="0.45">
      <c r="A99">
        <v>0</v>
      </c>
    </row>
    <row r="100" spans="1:1" x14ac:dyDescent="0.45">
      <c r="A100">
        <v>3</v>
      </c>
    </row>
    <row r="101" spans="1:1" x14ac:dyDescent="0.45">
      <c r="A101">
        <v>1</v>
      </c>
    </row>
    <row r="102" spans="1:1" x14ac:dyDescent="0.45">
      <c r="A102">
        <v>2</v>
      </c>
    </row>
    <row r="103" spans="1:1" x14ac:dyDescent="0.45">
      <c r="A103">
        <v>1</v>
      </c>
    </row>
    <row r="104" spans="1:1" x14ac:dyDescent="0.45">
      <c r="A104">
        <v>4</v>
      </c>
    </row>
    <row r="105" spans="1:1" x14ac:dyDescent="0.45">
      <c r="A105">
        <v>2</v>
      </c>
    </row>
    <row r="106" spans="1:1" x14ac:dyDescent="0.45">
      <c r="A106">
        <v>2</v>
      </c>
    </row>
    <row r="107" spans="1:1" x14ac:dyDescent="0.45">
      <c r="A107">
        <v>3</v>
      </c>
    </row>
    <row r="108" spans="1:1" x14ac:dyDescent="0.45">
      <c r="A108">
        <v>4</v>
      </c>
    </row>
    <row r="109" spans="1:1" x14ac:dyDescent="0.45">
      <c r="A109">
        <v>1</v>
      </c>
    </row>
    <row r="110" spans="1:1" x14ac:dyDescent="0.45">
      <c r="A110">
        <v>0</v>
      </c>
    </row>
    <row r="111" spans="1:1" x14ac:dyDescent="0.45">
      <c r="A111">
        <v>2</v>
      </c>
    </row>
    <row r="112" spans="1:1" x14ac:dyDescent="0.45">
      <c r="A112">
        <v>1</v>
      </c>
    </row>
    <row r="113" spans="1:1" x14ac:dyDescent="0.45">
      <c r="A113">
        <v>1</v>
      </c>
    </row>
    <row r="114" spans="1:1" x14ac:dyDescent="0.45">
      <c r="A114">
        <v>2</v>
      </c>
    </row>
    <row r="115" spans="1:1" x14ac:dyDescent="0.45">
      <c r="A115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7EDE-F93B-4682-ADA7-01C11B218133}">
  <dimension ref="A14:L94"/>
  <sheetViews>
    <sheetView topLeftCell="A30" zoomScale="85" zoomScaleNormal="85" workbookViewId="0">
      <selection activeCell="E52" sqref="E52"/>
    </sheetView>
  </sheetViews>
  <sheetFormatPr defaultRowHeight="14.25" x14ac:dyDescent="0.45"/>
  <cols>
    <col min="1" max="1" width="12" customWidth="1"/>
    <col min="2" max="2" width="4.3984375" customWidth="1"/>
    <col min="3" max="3" width="13.1328125" customWidth="1"/>
    <col min="4" max="4" width="7.3984375" customWidth="1"/>
    <col min="5" max="5" width="7.86328125" customWidth="1"/>
  </cols>
  <sheetData>
    <row r="14" spans="1:5" x14ac:dyDescent="0.45">
      <c r="A14" s="8" t="s">
        <v>0</v>
      </c>
      <c r="B14" s="1" t="s">
        <v>91</v>
      </c>
      <c r="C14" s="1"/>
    </row>
    <row r="15" spans="1:5" x14ac:dyDescent="0.45">
      <c r="A15" s="2">
        <v>0</v>
      </c>
      <c r="B15" t="s">
        <v>92</v>
      </c>
    </row>
    <row r="16" spans="1:5" x14ac:dyDescent="0.45">
      <c r="A16" s="2">
        <v>1</v>
      </c>
      <c r="B16" t="s">
        <v>14</v>
      </c>
      <c r="E16">
        <f>COUNT(A15:A94)</f>
        <v>80</v>
      </c>
    </row>
    <row r="17" spans="1:11" x14ac:dyDescent="0.45">
      <c r="A17" s="2">
        <v>3</v>
      </c>
      <c r="B17" s="1" t="s">
        <v>93</v>
      </c>
    </row>
    <row r="18" spans="1:11" ht="14.65" thickBot="1" x14ac:dyDescent="0.5">
      <c r="A18" s="2">
        <v>1</v>
      </c>
      <c r="B18" t="s">
        <v>37</v>
      </c>
      <c r="C18" s="1"/>
    </row>
    <row r="19" spans="1:11" x14ac:dyDescent="0.45">
      <c r="A19" s="2">
        <v>1</v>
      </c>
      <c r="B19" s="65" t="s">
        <v>11</v>
      </c>
      <c r="C19" s="66" t="s">
        <v>12</v>
      </c>
      <c r="D19" s="66" t="s">
        <v>13</v>
      </c>
      <c r="E19" s="66" t="s">
        <v>28</v>
      </c>
      <c r="F19" s="67" t="s">
        <v>29</v>
      </c>
    </row>
    <row r="20" spans="1:11" x14ac:dyDescent="0.45">
      <c r="A20" s="2">
        <v>2</v>
      </c>
      <c r="B20" s="43">
        <v>0</v>
      </c>
      <c r="C20">
        <f>COUNTIF($A$15:$A$94,B20)</f>
        <v>21</v>
      </c>
      <c r="D20" s="60">
        <f>C20/80</f>
        <v>0.26250000000000001</v>
      </c>
      <c r="E20" s="32">
        <f>C20</f>
        <v>21</v>
      </c>
      <c r="F20" s="61">
        <f>D20</f>
        <v>0.26250000000000001</v>
      </c>
    </row>
    <row r="21" spans="1:11" x14ac:dyDescent="0.45">
      <c r="A21" s="2">
        <v>1</v>
      </c>
      <c r="B21" s="43">
        <v>1</v>
      </c>
      <c r="C21">
        <f t="shared" ref="C21:C24" si="0">COUNTIF($A$15:$A$94,B21)</f>
        <v>30</v>
      </c>
      <c r="D21" s="60">
        <f t="shared" ref="D21:D25" si="1">C21/80</f>
        <v>0.375</v>
      </c>
      <c r="E21" s="62">
        <f>E20+C21</f>
        <v>51</v>
      </c>
      <c r="F21" s="61">
        <f>F20+D21</f>
        <v>0.63749999999999996</v>
      </c>
      <c r="G21" s="7"/>
    </row>
    <row r="22" spans="1:11" x14ac:dyDescent="0.45">
      <c r="A22" s="2">
        <v>1</v>
      </c>
      <c r="B22" s="43">
        <v>2</v>
      </c>
      <c r="C22">
        <f t="shared" si="0"/>
        <v>15</v>
      </c>
      <c r="D22" s="60">
        <f t="shared" si="1"/>
        <v>0.1875</v>
      </c>
      <c r="E22" s="62">
        <f t="shared" ref="E22:E24" si="2">E21+C22</f>
        <v>66</v>
      </c>
      <c r="F22" s="61">
        <f t="shared" ref="F22:F24" si="3">F21+D22</f>
        <v>0.82499999999999996</v>
      </c>
      <c r="G22" s="7"/>
    </row>
    <row r="23" spans="1:11" x14ac:dyDescent="0.45">
      <c r="A23" s="2">
        <v>1</v>
      </c>
      <c r="B23" s="43">
        <v>3</v>
      </c>
      <c r="C23">
        <f t="shared" si="0"/>
        <v>8</v>
      </c>
      <c r="D23" s="60">
        <f t="shared" si="1"/>
        <v>0.1</v>
      </c>
      <c r="E23" s="62">
        <f t="shared" si="2"/>
        <v>74</v>
      </c>
      <c r="F23" s="61">
        <f t="shared" si="3"/>
        <v>0.92499999999999993</v>
      </c>
      <c r="G23" s="7"/>
    </row>
    <row r="24" spans="1:11" ht="14.65" thickBot="1" x14ac:dyDescent="0.5">
      <c r="A24" s="2">
        <v>4</v>
      </c>
      <c r="B24" s="44">
        <v>4</v>
      </c>
      <c r="C24" s="34">
        <f t="shared" si="0"/>
        <v>6</v>
      </c>
      <c r="D24" s="63">
        <f t="shared" si="1"/>
        <v>7.4999999999999997E-2</v>
      </c>
      <c r="E24" s="64">
        <f t="shared" si="2"/>
        <v>80</v>
      </c>
      <c r="F24" s="55">
        <f t="shared" si="3"/>
        <v>0.99999999999999989</v>
      </c>
      <c r="G24" s="7"/>
    </row>
    <row r="25" spans="1:11" x14ac:dyDescent="0.45">
      <c r="A25" s="2">
        <v>2</v>
      </c>
      <c r="C25">
        <f>SUM(C20:C24)</f>
        <v>80</v>
      </c>
      <c r="D25" s="6">
        <f t="shared" si="1"/>
        <v>1</v>
      </c>
      <c r="E25" s="7"/>
      <c r="G25" s="7"/>
    </row>
    <row r="26" spans="1:11" x14ac:dyDescent="0.45">
      <c r="A26" s="2">
        <v>0</v>
      </c>
    </row>
    <row r="27" spans="1:11" x14ac:dyDescent="0.45">
      <c r="A27" s="2">
        <v>0</v>
      </c>
      <c r="B27" s="1" t="s">
        <v>94</v>
      </c>
      <c r="C27" t="s">
        <v>22</v>
      </c>
      <c r="K27" t="s">
        <v>23</v>
      </c>
    </row>
    <row r="28" spans="1:11" x14ac:dyDescent="0.45">
      <c r="A28" s="2">
        <v>4</v>
      </c>
    </row>
    <row r="29" spans="1:11" x14ac:dyDescent="0.45">
      <c r="A29" s="2">
        <v>0</v>
      </c>
    </row>
    <row r="30" spans="1:11" x14ac:dyDescent="0.45">
      <c r="A30" s="2">
        <v>1</v>
      </c>
    </row>
    <row r="31" spans="1:11" x14ac:dyDescent="0.45">
      <c r="A31" s="2">
        <v>0</v>
      </c>
    </row>
    <row r="32" spans="1:11" x14ac:dyDescent="0.45">
      <c r="A32" s="2">
        <v>1</v>
      </c>
    </row>
    <row r="33" spans="1:12" x14ac:dyDescent="0.45">
      <c r="A33" s="2">
        <v>1</v>
      </c>
    </row>
    <row r="34" spans="1:12" x14ac:dyDescent="0.45">
      <c r="A34" s="2">
        <v>0</v>
      </c>
    </row>
    <row r="35" spans="1:12" x14ac:dyDescent="0.45">
      <c r="A35" s="2">
        <v>4</v>
      </c>
    </row>
    <row r="36" spans="1:12" x14ac:dyDescent="0.45">
      <c r="A36" s="2">
        <v>1</v>
      </c>
    </row>
    <row r="37" spans="1:12" x14ac:dyDescent="0.45">
      <c r="A37" s="2">
        <v>1</v>
      </c>
    </row>
    <row r="38" spans="1:12" x14ac:dyDescent="0.45">
      <c r="A38" s="2">
        <v>1</v>
      </c>
    </row>
    <row r="39" spans="1:12" x14ac:dyDescent="0.45">
      <c r="A39" s="2">
        <v>0</v>
      </c>
    </row>
    <row r="40" spans="1:12" x14ac:dyDescent="0.45">
      <c r="A40" s="2">
        <v>0</v>
      </c>
      <c r="C40" s="1"/>
    </row>
    <row r="41" spans="1:12" x14ac:dyDescent="0.45">
      <c r="A41" s="2">
        <v>3</v>
      </c>
    </row>
    <row r="42" spans="1:12" x14ac:dyDescent="0.45">
      <c r="A42" s="2">
        <v>2</v>
      </c>
    </row>
    <row r="43" spans="1:12" x14ac:dyDescent="0.45">
      <c r="A43" s="2">
        <v>1</v>
      </c>
    </row>
    <row r="44" spans="1:12" ht="14.65" thickBot="1" x14ac:dyDescent="0.5">
      <c r="A44" s="2">
        <v>0</v>
      </c>
      <c r="B44" s="1" t="s">
        <v>95</v>
      </c>
      <c r="I44" s="14"/>
      <c r="J44" s="14"/>
    </row>
    <row r="45" spans="1:12" x14ac:dyDescent="0.45">
      <c r="A45" s="2">
        <v>4</v>
      </c>
      <c r="C45" t="s">
        <v>41</v>
      </c>
      <c r="D45">
        <v>1.35</v>
      </c>
      <c r="K45" s="35" t="s">
        <v>48</v>
      </c>
      <c r="L45" s="35"/>
    </row>
    <row r="46" spans="1:12" x14ac:dyDescent="0.45">
      <c r="A46" s="2">
        <v>0</v>
      </c>
      <c r="C46" t="s">
        <v>46</v>
      </c>
      <c r="D46">
        <v>1</v>
      </c>
    </row>
    <row r="47" spans="1:12" x14ac:dyDescent="0.45">
      <c r="A47" s="2">
        <v>1</v>
      </c>
      <c r="C47" t="s">
        <v>43</v>
      </c>
      <c r="D47">
        <v>1</v>
      </c>
      <c r="K47" t="s">
        <v>49</v>
      </c>
      <c r="L47">
        <v>1.35</v>
      </c>
    </row>
    <row r="48" spans="1:12" x14ac:dyDescent="0.45">
      <c r="A48" s="2">
        <v>2</v>
      </c>
      <c r="K48" t="s">
        <v>50</v>
      </c>
      <c r="L48">
        <v>0.13324100178609444</v>
      </c>
    </row>
    <row r="49" spans="1:12" x14ac:dyDescent="0.45">
      <c r="A49" s="2">
        <v>0</v>
      </c>
      <c r="B49" s="1" t="s">
        <v>96</v>
      </c>
      <c r="C49" t="s">
        <v>97</v>
      </c>
      <c r="D49" s="6">
        <v>0.04</v>
      </c>
      <c r="K49" t="s">
        <v>51</v>
      </c>
      <c r="L49">
        <v>1</v>
      </c>
    </row>
    <row r="50" spans="1:12" x14ac:dyDescent="0.45">
      <c r="A50" s="2">
        <v>2</v>
      </c>
      <c r="C50" t="s">
        <v>64</v>
      </c>
      <c r="D50">
        <v>1.42</v>
      </c>
      <c r="K50" t="s">
        <v>52</v>
      </c>
      <c r="L50">
        <v>1</v>
      </c>
    </row>
    <row r="51" spans="1:12" x14ac:dyDescent="0.45">
      <c r="A51" s="2">
        <v>2</v>
      </c>
      <c r="C51" t="s">
        <v>65</v>
      </c>
      <c r="D51">
        <v>1.19</v>
      </c>
      <c r="K51" t="s">
        <v>53</v>
      </c>
      <c r="L51">
        <v>1.1917437495355123</v>
      </c>
    </row>
    <row r="52" spans="1:12" x14ac:dyDescent="0.45">
      <c r="A52" s="2">
        <v>0</v>
      </c>
      <c r="K52" t="s">
        <v>54</v>
      </c>
      <c r="L52">
        <v>1.4202531645569618</v>
      </c>
    </row>
    <row r="53" spans="1:12" x14ac:dyDescent="0.45">
      <c r="A53" s="2">
        <v>3</v>
      </c>
      <c r="B53" s="1" t="s">
        <v>99</v>
      </c>
      <c r="K53" t="s">
        <v>55</v>
      </c>
      <c r="L53">
        <v>-0.21907601392287912</v>
      </c>
    </row>
    <row r="54" spans="1:12" x14ac:dyDescent="0.45">
      <c r="A54" s="2">
        <v>4</v>
      </c>
      <c r="C54" t="s">
        <v>98</v>
      </c>
      <c r="K54" t="s">
        <v>56</v>
      </c>
      <c r="L54">
        <v>0.75753155103238223</v>
      </c>
    </row>
    <row r="55" spans="1:12" x14ac:dyDescent="0.45">
      <c r="A55" s="2">
        <v>0</v>
      </c>
      <c r="K55" t="s">
        <v>57</v>
      </c>
      <c r="L55">
        <v>4</v>
      </c>
    </row>
    <row r="56" spans="1:12" x14ac:dyDescent="0.45">
      <c r="A56" s="2">
        <v>3</v>
      </c>
      <c r="K56" t="s">
        <v>58</v>
      </c>
      <c r="L56">
        <v>0</v>
      </c>
    </row>
    <row r="57" spans="1:12" x14ac:dyDescent="0.45">
      <c r="A57" s="2">
        <v>2</v>
      </c>
      <c r="K57" t="s">
        <v>59</v>
      </c>
      <c r="L57">
        <v>4</v>
      </c>
    </row>
    <row r="58" spans="1:12" x14ac:dyDescent="0.45">
      <c r="A58" s="2">
        <v>1</v>
      </c>
      <c r="K58" t="s">
        <v>60</v>
      </c>
      <c r="L58">
        <v>108</v>
      </c>
    </row>
    <row r="59" spans="1:12" ht="14.65" thickBot="1" x14ac:dyDescent="0.5">
      <c r="A59" s="2">
        <v>1</v>
      </c>
      <c r="K59" s="34" t="s">
        <v>61</v>
      </c>
      <c r="L59" s="34">
        <v>80</v>
      </c>
    </row>
    <row r="60" spans="1:12" x14ac:dyDescent="0.45">
      <c r="A60" s="2">
        <v>0</v>
      </c>
    </row>
    <row r="61" spans="1:12" x14ac:dyDescent="0.45">
      <c r="A61" s="2">
        <v>2</v>
      </c>
    </row>
    <row r="62" spans="1:12" x14ac:dyDescent="0.45">
      <c r="A62" s="2">
        <v>1</v>
      </c>
    </row>
    <row r="63" spans="1:12" x14ac:dyDescent="0.45">
      <c r="A63" s="2">
        <v>3</v>
      </c>
    </row>
    <row r="64" spans="1:12" x14ac:dyDescent="0.45">
      <c r="A64" s="2">
        <v>2</v>
      </c>
    </row>
    <row r="65" spans="1:1" x14ac:dyDescent="0.45">
      <c r="A65" s="2">
        <v>3</v>
      </c>
    </row>
    <row r="66" spans="1:1" x14ac:dyDescent="0.45">
      <c r="A66" s="2">
        <v>1</v>
      </c>
    </row>
    <row r="67" spans="1:1" x14ac:dyDescent="0.45">
      <c r="A67" s="2">
        <v>2</v>
      </c>
    </row>
    <row r="68" spans="1:1" x14ac:dyDescent="0.45">
      <c r="A68" s="2">
        <v>1</v>
      </c>
    </row>
    <row r="69" spans="1:1" x14ac:dyDescent="0.45">
      <c r="A69" s="2">
        <v>1</v>
      </c>
    </row>
    <row r="70" spans="1:1" x14ac:dyDescent="0.45">
      <c r="A70" s="2">
        <v>2</v>
      </c>
    </row>
    <row r="71" spans="1:1" x14ac:dyDescent="0.45">
      <c r="A71" s="2">
        <v>0</v>
      </c>
    </row>
    <row r="72" spans="1:1" x14ac:dyDescent="0.45">
      <c r="A72" s="2">
        <v>1</v>
      </c>
    </row>
    <row r="73" spans="1:1" x14ac:dyDescent="0.45">
      <c r="A73" s="2">
        <v>0</v>
      </c>
    </row>
    <row r="74" spans="1:1" x14ac:dyDescent="0.45">
      <c r="A74" s="2">
        <v>1</v>
      </c>
    </row>
    <row r="75" spans="1:1" x14ac:dyDescent="0.45">
      <c r="A75" s="2">
        <v>0</v>
      </c>
    </row>
    <row r="76" spans="1:1" x14ac:dyDescent="0.45">
      <c r="A76" s="2">
        <v>1</v>
      </c>
    </row>
    <row r="77" spans="1:1" x14ac:dyDescent="0.45">
      <c r="A77" s="2">
        <v>0</v>
      </c>
    </row>
    <row r="78" spans="1:1" x14ac:dyDescent="0.45">
      <c r="A78" s="2">
        <v>1</v>
      </c>
    </row>
    <row r="79" spans="1:1" x14ac:dyDescent="0.45">
      <c r="A79" s="2">
        <v>4</v>
      </c>
    </row>
    <row r="80" spans="1:1" x14ac:dyDescent="0.45">
      <c r="A80" s="2">
        <v>2</v>
      </c>
    </row>
    <row r="81" spans="1:1" x14ac:dyDescent="0.45">
      <c r="A81" s="2">
        <v>1</v>
      </c>
    </row>
    <row r="82" spans="1:1" x14ac:dyDescent="0.45">
      <c r="A82" s="2">
        <v>1</v>
      </c>
    </row>
    <row r="83" spans="1:1" x14ac:dyDescent="0.45">
      <c r="A83" s="2">
        <v>0</v>
      </c>
    </row>
    <row r="84" spans="1:1" x14ac:dyDescent="0.45">
      <c r="A84" s="2">
        <v>2</v>
      </c>
    </row>
    <row r="85" spans="1:1" x14ac:dyDescent="0.45">
      <c r="A85" s="2">
        <v>1</v>
      </c>
    </row>
    <row r="86" spans="1:1" x14ac:dyDescent="0.45">
      <c r="A86" s="2">
        <v>1</v>
      </c>
    </row>
    <row r="87" spans="1:1" x14ac:dyDescent="0.45">
      <c r="A87" s="2">
        <v>2</v>
      </c>
    </row>
    <row r="88" spans="1:1" x14ac:dyDescent="0.45">
      <c r="A88" s="2">
        <v>0</v>
      </c>
    </row>
    <row r="89" spans="1:1" x14ac:dyDescent="0.45">
      <c r="A89" s="2">
        <v>3</v>
      </c>
    </row>
    <row r="90" spans="1:1" x14ac:dyDescent="0.45">
      <c r="A90" s="2">
        <v>0</v>
      </c>
    </row>
    <row r="91" spans="1:1" x14ac:dyDescent="0.45">
      <c r="A91" s="2">
        <v>1</v>
      </c>
    </row>
    <row r="92" spans="1:1" x14ac:dyDescent="0.45">
      <c r="A92" s="2">
        <v>1</v>
      </c>
    </row>
    <row r="93" spans="1:1" x14ac:dyDescent="0.45">
      <c r="A93" s="2">
        <v>3</v>
      </c>
    </row>
    <row r="94" spans="1:1" x14ac:dyDescent="0.45">
      <c r="A94" s="2">
        <v>2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6BC6-42E4-4D25-9EA7-86C78E269EFF}">
  <dimension ref="A13:K133"/>
  <sheetViews>
    <sheetView tabSelected="1" topLeftCell="A17" zoomScale="115" zoomScaleNormal="115" workbookViewId="0">
      <selection activeCell="G74" sqref="G74"/>
    </sheetView>
  </sheetViews>
  <sheetFormatPr defaultRowHeight="14.25" x14ac:dyDescent="0.45"/>
  <sheetData>
    <row r="13" spans="1:3" x14ac:dyDescent="0.45">
      <c r="A13" s="1" t="s">
        <v>0</v>
      </c>
      <c r="C13" t="s">
        <v>33</v>
      </c>
    </row>
    <row r="14" spans="1:3" x14ac:dyDescent="0.45">
      <c r="A14" s="15">
        <v>4</v>
      </c>
      <c r="C14" t="s">
        <v>34</v>
      </c>
    </row>
    <row r="15" spans="1:3" x14ac:dyDescent="0.45">
      <c r="A15" s="15">
        <v>1</v>
      </c>
      <c r="C15" t="s">
        <v>35</v>
      </c>
    </row>
    <row r="16" spans="1:3" x14ac:dyDescent="0.45">
      <c r="A16" s="15">
        <v>3</v>
      </c>
    </row>
    <row r="17" spans="1:11" x14ac:dyDescent="0.45">
      <c r="A17" s="15">
        <v>1</v>
      </c>
      <c r="C17" t="s">
        <v>36</v>
      </c>
    </row>
    <row r="18" spans="1:11" x14ac:dyDescent="0.45">
      <c r="A18" s="15">
        <v>1</v>
      </c>
      <c r="C18" t="s">
        <v>14</v>
      </c>
      <c r="E18">
        <f>COUNT(A14:A133)</f>
        <v>120</v>
      </c>
    </row>
    <row r="19" spans="1:11" x14ac:dyDescent="0.45">
      <c r="A19" s="15">
        <v>6</v>
      </c>
    </row>
    <row r="20" spans="1:11" x14ac:dyDescent="0.45">
      <c r="A20" s="15">
        <v>0</v>
      </c>
      <c r="C20" t="s">
        <v>37</v>
      </c>
    </row>
    <row r="21" spans="1:11" x14ac:dyDescent="0.45">
      <c r="A21" s="15">
        <v>3</v>
      </c>
      <c r="C21" t="s">
        <v>11</v>
      </c>
      <c r="D21" t="s">
        <v>12</v>
      </c>
      <c r="E21" t="s">
        <v>13</v>
      </c>
      <c r="F21" t="s">
        <v>28</v>
      </c>
      <c r="G21" t="s">
        <v>29</v>
      </c>
    </row>
    <row r="22" spans="1:11" x14ac:dyDescent="0.45">
      <c r="A22" s="15">
        <v>6</v>
      </c>
      <c r="C22">
        <v>0</v>
      </c>
      <c r="D22">
        <f>COUNTIF($A$14:$A$133,C22)</f>
        <v>17</v>
      </c>
      <c r="E22" s="7">
        <f>D22/120</f>
        <v>0.14166666666666666</v>
      </c>
      <c r="F22">
        <f>D22</f>
        <v>17</v>
      </c>
      <c r="G22" s="33">
        <f>E22</f>
        <v>0.14166666666666666</v>
      </c>
    </row>
    <row r="23" spans="1:11" x14ac:dyDescent="0.45">
      <c r="A23" s="15">
        <v>2</v>
      </c>
      <c r="C23">
        <v>1</v>
      </c>
      <c r="D23">
        <f t="shared" ref="D23:D28" si="0">COUNTIF($A$14:$A$133,C23)</f>
        <v>18</v>
      </c>
      <c r="E23" s="7">
        <f t="shared" ref="E23:E28" si="1">D23/120</f>
        <v>0.15</v>
      </c>
      <c r="F23">
        <f>F22+D23</f>
        <v>35</v>
      </c>
      <c r="G23" s="33">
        <f>G22+E23</f>
        <v>0.29166666666666663</v>
      </c>
    </row>
    <row r="24" spans="1:11" x14ac:dyDescent="0.45">
      <c r="A24" s="15">
        <v>1</v>
      </c>
      <c r="C24">
        <v>2</v>
      </c>
      <c r="D24">
        <f t="shared" si="0"/>
        <v>19</v>
      </c>
      <c r="E24" s="7">
        <f t="shared" si="1"/>
        <v>0.15833333333333333</v>
      </c>
      <c r="F24">
        <f t="shared" ref="F24:F28" si="2">F23+D24</f>
        <v>54</v>
      </c>
      <c r="G24" s="33">
        <f t="shared" ref="G24:G28" si="3">G23+E24</f>
        <v>0.44999999999999996</v>
      </c>
    </row>
    <row r="25" spans="1:11" x14ac:dyDescent="0.45">
      <c r="A25" s="15">
        <v>5</v>
      </c>
      <c r="C25">
        <v>3</v>
      </c>
      <c r="D25">
        <f t="shared" si="0"/>
        <v>19</v>
      </c>
      <c r="E25" s="7">
        <f t="shared" si="1"/>
        <v>0.15833333333333333</v>
      </c>
      <c r="F25">
        <f t="shared" si="2"/>
        <v>73</v>
      </c>
      <c r="G25" s="33">
        <f t="shared" si="3"/>
        <v>0.60833333333333328</v>
      </c>
    </row>
    <row r="26" spans="1:11" x14ac:dyDescent="0.45">
      <c r="A26" s="15">
        <v>6</v>
      </c>
      <c r="C26">
        <v>4</v>
      </c>
      <c r="D26">
        <f t="shared" si="0"/>
        <v>14</v>
      </c>
      <c r="E26" s="7">
        <f t="shared" si="1"/>
        <v>0.11666666666666667</v>
      </c>
      <c r="F26">
        <f t="shared" si="2"/>
        <v>87</v>
      </c>
      <c r="G26" s="33">
        <f t="shared" si="3"/>
        <v>0.72499999999999998</v>
      </c>
    </row>
    <row r="27" spans="1:11" x14ac:dyDescent="0.45">
      <c r="A27" s="15">
        <v>5</v>
      </c>
      <c r="C27">
        <v>5</v>
      </c>
      <c r="D27">
        <f t="shared" si="0"/>
        <v>15</v>
      </c>
      <c r="E27" s="7">
        <f t="shared" si="1"/>
        <v>0.125</v>
      </c>
      <c r="F27">
        <f t="shared" si="2"/>
        <v>102</v>
      </c>
      <c r="G27" s="33">
        <f t="shared" si="3"/>
        <v>0.85</v>
      </c>
    </row>
    <row r="28" spans="1:11" x14ac:dyDescent="0.45">
      <c r="A28" s="15">
        <v>3</v>
      </c>
      <c r="C28">
        <v>6</v>
      </c>
      <c r="D28">
        <f t="shared" si="0"/>
        <v>18</v>
      </c>
      <c r="E28" s="7">
        <f t="shared" si="1"/>
        <v>0.15</v>
      </c>
      <c r="F28">
        <f t="shared" si="2"/>
        <v>120</v>
      </c>
      <c r="G28" s="33">
        <f t="shared" si="3"/>
        <v>1</v>
      </c>
    </row>
    <row r="29" spans="1:11" x14ac:dyDescent="0.45">
      <c r="A29" s="15">
        <v>3</v>
      </c>
      <c r="C29" t="s">
        <v>16</v>
      </c>
      <c r="D29">
        <f>SUM(D22:D28)</f>
        <v>120</v>
      </c>
      <c r="E29" s="9"/>
    </row>
    <row r="30" spans="1:11" x14ac:dyDescent="0.45">
      <c r="A30" s="15">
        <v>6</v>
      </c>
    </row>
    <row r="31" spans="1:11" x14ac:dyDescent="0.45">
      <c r="A31" s="15">
        <v>2</v>
      </c>
      <c r="C31" t="s">
        <v>38</v>
      </c>
    </row>
    <row r="32" spans="1:11" x14ac:dyDescent="0.45">
      <c r="A32" s="15">
        <v>5</v>
      </c>
      <c r="C32" t="s">
        <v>22</v>
      </c>
      <c r="K32" t="s">
        <v>39</v>
      </c>
    </row>
    <row r="33" spans="1:1" x14ac:dyDescent="0.45">
      <c r="A33" s="15">
        <v>4</v>
      </c>
    </row>
    <row r="34" spans="1:1" x14ac:dyDescent="0.45">
      <c r="A34" s="15">
        <v>3</v>
      </c>
    </row>
    <row r="35" spans="1:1" x14ac:dyDescent="0.45">
      <c r="A35" s="15">
        <v>5</v>
      </c>
    </row>
    <row r="36" spans="1:1" x14ac:dyDescent="0.45">
      <c r="A36" s="15">
        <v>1</v>
      </c>
    </row>
    <row r="37" spans="1:1" x14ac:dyDescent="0.45">
      <c r="A37" s="15">
        <v>1</v>
      </c>
    </row>
    <row r="38" spans="1:1" x14ac:dyDescent="0.45">
      <c r="A38" s="15">
        <v>2</v>
      </c>
    </row>
    <row r="39" spans="1:1" x14ac:dyDescent="0.45">
      <c r="A39" s="15">
        <v>3</v>
      </c>
    </row>
    <row r="40" spans="1:1" x14ac:dyDescent="0.45">
      <c r="A40" s="15">
        <v>1</v>
      </c>
    </row>
    <row r="41" spans="1:1" x14ac:dyDescent="0.45">
      <c r="A41" s="15">
        <v>0</v>
      </c>
    </row>
    <row r="42" spans="1:1" x14ac:dyDescent="0.45">
      <c r="A42" s="15">
        <v>1</v>
      </c>
    </row>
    <row r="43" spans="1:1" x14ac:dyDescent="0.45">
      <c r="A43" s="15">
        <v>0</v>
      </c>
    </row>
    <row r="44" spans="1:1" x14ac:dyDescent="0.45">
      <c r="A44" s="15">
        <v>1</v>
      </c>
    </row>
    <row r="45" spans="1:1" x14ac:dyDescent="0.45">
      <c r="A45" s="15">
        <v>2</v>
      </c>
    </row>
    <row r="46" spans="1:1" x14ac:dyDescent="0.45">
      <c r="A46" s="15">
        <v>2</v>
      </c>
    </row>
    <row r="47" spans="1:1" x14ac:dyDescent="0.45">
      <c r="A47" s="15">
        <v>6</v>
      </c>
    </row>
    <row r="48" spans="1:1" x14ac:dyDescent="0.45">
      <c r="A48" s="15">
        <v>1</v>
      </c>
    </row>
    <row r="49" spans="1:8" x14ac:dyDescent="0.45">
      <c r="A49" s="15">
        <v>3</v>
      </c>
      <c r="C49" t="s">
        <v>40</v>
      </c>
    </row>
    <row r="50" spans="1:8" x14ac:dyDescent="0.45">
      <c r="A50" s="15">
        <v>3</v>
      </c>
      <c r="C50" t="s">
        <v>41</v>
      </c>
      <c r="D50">
        <f>AVERAGE(A14:A133)</f>
        <v>2.9333333333333331</v>
      </c>
    </row>
    <row r="51" spans="1:8" x14ac:dyDescent="0.45">
      <c r="A51" s="15">
        <v>1</v>
      </c>
      <c r="C51" t="s">
        <v>42</v>
      </c>
    </row>
    <row r="52" spans="1:8" x14ac:dyDescent="0.45">
      <c r="A52" s="15">
        <v>2</v>
      </c>
    </row>
    <row r="53" spans="1:8" x14ac:dyDescent="0.45">
      <c r="A53" s="15">
        <v>2</v>
      </c>
      <c r="C53" t="s">
        <v>43</v>
      </c>
    </row>
    <row r="54" spans="1:8" x14ac:dyDescent="0.45">
      <c r="A54" s="15">
        <v>5</v>
      </c>
      <c r="C54">
        <f>MODE(A14:A133)</f>
        <v>3</v>
      </c>
      <c r="D54" t="s">
        <v>45</v>
      </c>
    </row>
    <row r="55" spans="1:8" x14ac:dyDescent="0.45">
      <c r="A55" s="15">
        <v>3</v>
      </c>
      <c r="C55" t="s">
        <v>44</v>
      </c>
    </row>
    <row r="56" spans="1:8" x14ac:dyDescent="0.45">
      <c r="A56" s="15">
        <v>1</v>
      </c>
    </row>
    <row r="57" spans="1:8" x14ac:dyDescent="0.45">
      <c r="A57" s="15">
        <v>2</v>
      </c>
      <c r="C57" t="s">
        <v>46</v>
      </c>
    </row>
    <row r="58" spans="1:8" x14ac:dyDescent="0.45">
      <c r="A58" s="15">
        <v>2</v>
      </c>
      <c r="C58">
        <f>MEDIAN(A14:A133)</f>
        <v>3</v>
      </c>
    </row>
    <row r="59" spans="1:8" x14ac:dyDescent="0.45">
      <c r="A59" s="15">
        <v>3</v>
      </c>
      <c r="C59" t="s">
        <v>47</v>
      </c>
    </row>
    <row r="60" spans="1:8" x14ac:dyDescent="0.45">
      <c r="A60" s="15">
        <v>5</v>
      </c>
    </row>
    <row r="61" spans="1:8" ht="14.65" thickBot="1" x14ac:dyDescent="0.5">
      <c r="A61" s="15">
        <v>6</v>
      </c>
    </row>
    <row r="62" spans="1:8" x14ac:dyDescent="0.45">
      <c r="A62" s="15">
        <v>3</v>
      </c>
      <c r="D62" s="35" t="s">
        <v>48</v>
      </c>
      <c r="E62" s="35"/>
      <c r="G62" t="s">
        <v>62</v>
      </c>
    </row>
    <row r="63" spans="1:8" x14ac:dyDescent="0.45">
      <c r="A63" s="15">
        <v>1</v>
      </c>
      <c r="G63" t="s">
        <v>63</v>
      </c>
      <c r="H63">
        <f>G65-G64</f>
        <v>6</v>
      </c>
    </row>
    <row r="64" spans="1:8" x14ac:dyDescent="0.45">
      <c r="A64" s="15">
        <v>1</v>
      </c>
      <c r="D64" t="s">
        <v>49</v>
      </c>
      <c r="E64">
        <v>2.9333333333333331</v>
      </c>
      <c r="G64">
        <f>MIN(A14:A133)</f>
        <v>0</v>
      </c>
    </row>
    <row r="65" spans="1:8" x14ac:dyDescent="0.45">
      <c r="A65" s="15">
        <v>0</v>
      </c>
      <c r="D65" t="s">
        <v>50</v>
      </c>
      <c r="E65">
        <v>0.18323781570819073</v>
      </c>
      <c r="G65">
        <f>MAX(A14:A133)</f>
        <v>6</v>
      </c>
    </row>
    <row r="66" spans="1:8" x14ac:dyDescent="0.45">
      <c r="A66" s="15">
        <v>5</v>
      </c>
      <c r="D66" t="s">
        <v>51</v>
      </c>
      <c r="E66">
        <v>3</v>
      </c>
    </row>
    <row r="67" spans="1:8" x14ac:dyDescent="0.45">
      <c r="A67" s="15">
        <v>6</v>
      </c>
      <c r="D67" t="s">
        <v>52</v>
      </c>
      <c r="E67">
        <v>3</v>
      </c>
      <c r="G67" t="s">
        <v>64</v>
      </c>
      <c r="H67">
        <f>_xlfn.VAR.S(A14:A133)</f>
        <v>4.0291316526610643</v>
      </c>
    </row>
    <row r="68" spans="1:8" x14ac:dyDescent="0.45">
      <c r="A68" s="15">
        <v>4</v>
      </c>
      <c r="D68" t="s">
        <v>53</v>
      </c>
      <c r="E68">
        <v>2.0072697010270106</v>
      </c>
      <c r="G68" t="s">
        <v>65</v>
      </c>
      <c r="H68">
        <f>_xlfn.STDEV.S(A14:A133)</f>
        <v>2.0072697010270106</v>
      </c>
    </row>
    <row r="69" spans="1:8" x14ac:dyDescent="0.45">
      <c r="A69" s="15">
        <v>6</v>
      </c>
      <c r="D69" t="s">
        <v>54</v>
      </c>
      <c r="E69">
        <v>4.0291316526610643</v>
      </c>
    </row>
    <row r="70" spans="1:8" x14ac:dyDescent="0.45">
      <c r="A70" s="15">
        <v>3</v>
      </c>
      <c r="D70" t="s">
        <v>55</v>
      </c>
      <c r="E70">
        <v>-1.221637931304691</v>
      </c>
    </row>
    <row r="71" spans="1:8" ht="15.75" x14ac:dyDescent="0.45">
      <c r="A71" s="15">
        <v>2</v>
      </c>
      <c r="D71" t="s">
        <v>56</v>
      </c>
      <c r="E71">
        <v>9.9250859162303792E-2</v>
      </c>
      <c r="G71" s="36" t="s">
        <v>66</v>
      </c>
    </row>
    <row r="72" spans="1:8" ht="15.75" x14ac:dyDescent="0.45">
      <c r="A72" s="15">
        <v>4</v>
      </c>
      <c r="D72" t="s">
        <v>57</v>
      </c>
      <c r="E72">
        <v>6</v>
      </c>
      <c r="G72" s="36" t="s">
        <v>67</v>
      </c>
    </row>
    <row r="73" spans="1:8" ht="15.75" x14ac:dyDescent="0.45">
      <c r="A73" s="15">
        <v>4</v>
      </c>
      <c r="D73" t="s">
        <v>58</v>
      </c>
      <c r="E73">
        <v>0</v>
      </c>
      <c r="G73" s="36" t="s">
        <v>68</v>
      </c>
    </row>
    <row r="74" spans="1:8" x14ac:dyDescent="0.45">
      <c r="A74" s="15">
        <v>5</v>
      </c>
      <c r="D74" t="s">
        <v>59</v>
      </c>
      <c r="E74">
        <v>6</v>
      </c>
    </row>
    <row r="75" spans="1:8" x14ac:dyDescent="0.45">
      <c r="A75" s="15">
        <v>0</v>
      </c>
      <c r="D75" t="s">
        <v>60</v>
      </c>
      <c r="E75">
        <v>352</v>
      </c>
    </row>
    <row r="76" spans="1:8" ht="14.65" thickBot="1" x14ac:dyDescent="0.5">
      <c r="A76" s="15">
        <v>5</v>
      </c>
      <c r="D76" s="34" t="s">
        <v>61</v>
      </c>
      <c r="E76" s="34">
        <v>120</v>
      </c>
    </row>
    <row r="77" spans="1:8" x14ac:dyDescent="0.45">
      <c r="A77" s="15">
        <v>2</v>
      </c>
    </row>
    <row r="78" spans="1:8" x14ac:dyDescent="0.45">
      <c r="A78" s="15">
        <v>3</v>
      </c>
    </row>
    <row r="79" spans="1:8" x14ac:dyDescent="0.45">
      <c r="A79" s="15">
        <v>2</v>
      </c>
    </row>
    <row r="80" spans="1:8" x14ac:dyDescent="0.45">
      <c r="A80" s="15">
        <v>5</v>
      </c>
    </row>
    <row r="81" spans="1:1" x14ac:dyDescent="0.45">
      <c r="A81" s="15">
        <v>3</v>
      </c>
    </row>
    <row r="82" spans="1:1" x14ac:dyDescent="0.45">
      <c r="A82" s="15">
        <v>4</v>
      </c>
    </row>
    <row r="83" spans="1:1" x14ac:dyDescent="0.45">
      <c r="A83" s="15">
        <v>3</v>
      </c>
    </row>
    <row r="84" spans="1:1" x14ac:dyDescent="0.45">
      <c r="A84" s="15">
        <v>4</v>
      </c>
    </row>
    <row r="85" spans="1:1" x14ac:dyDescent="0.45">
      <c r="A85" s="15">
        <v>4</v>
      </c>
    </row>
    <row r="86" spans="1:1" x14ac:dyDescent="0.45">
      <c r="A86" s="15">
        <v>1</v>
      </c>
    </row>
    <row r="87" spans="1:1" x14ac:dyDescent="0.45">
      <c r="A87" s="15">
        <v>0</v>
      </c>
    </row>
    <row r="88" spans="1:1" x14ac:dyDescent="0.45">
      <c r="A88" s="15">
        <v>4</v>
      </c>
    </row>
    <row r="89" spans="1:1" x14ac:dyDescent="0.45">
      <c r="A89" s="15">
        <v>4</v>
      </c>
    </row>
    <row r="90" spans="1:1" x14ac:dyDescent="0.45">
      <c r="A90" s="15">
        <v>0</v>
      </c>
    </row>
    <row r="91" spans="1:1" x14ac:dyDescent="0.45">
      <c r="A91" s="15">
        <v>6</v>
      </c>
    </row>
    <row r="92" spans="1:1" x14ac:dyDescent="0.45">
      <c r="A92" s="15">
        <v>3</v>
      </c>
    </row>
    <row r="93" spans="1:1" x14ac:dyDescent="0.45">
      <c r="A93" s="15">
        <v>1</v>
      </c>
    </row>
    <row r="94" spans="1:1" x14ac:dyDescent="0.45">
      <c r="A94" s="15">
        <v>3</v>
      </c>
    </row>
    <row r="95" spans="1:1" x14ac:dyDescent="0.45">
      <c r="A95" s="15">
        <v>4</v>
      </c>
    </row>
    <row r="96" spans="1:1" x14ac:dyDescent="0.45">
      <c r="A96" s="15">
        <v>1</v>
      </c>
    </row>
    <row r="97" spans="1:1" x14ac:dyDescent="0.45">
      <c r="A97" s="15">
        <v>6</v>
      </c>
    </row>
    <row r="98" spans="1:1" x14ac:dyDescent="0.45">
      <c r="A98" s="15">
        <v>6</v>
      </c>
    </row>
    <row r="99" spans="1:1" x14ac:dyDescent="0.45">
      <c r="A99" s="15">
        <v>0</v>
      </c>
    </row>
    <row r="100" spans="1:1" x14ac:dyDescent="0.45">
      <c r="A100" s="15">
        <v>3</v>
      </c>
    </row>
    <row r="101" spans="1:1" x14ac:dyDescent="0.45">
      <c r="A101" s="15">
        <v>0</v>
      </c>
    </row>
    <row r="102" spans="1:1" x14ac:dyDescent="0.45">
      <c r="A102" s="15">
        <v>0</v>
      </c>
    </row>
    <row r="103" spans="1:1" x14ac:dyDescent="0.45">
      <c r="A103" s="15">
        <v>4</v>
      </c>
    </row>
    <row r="104" spans="1:1" x14ac:dyDescent="0.45">
      <c r="A104" s="15">
        <v>2</v>
      </c>
    </row>
    <row r="105" spans="1:1" x14ac:dyDescent="0.45">
      <c r="A105" s="15">
        <v>2</v>
      </c>
    </row>
    <row r="106" spans="1:1" x14ac:dyDescent="0.45">
      <c r="A106" s="15">
        <v>5</v>
      </c>
    </row>
    <row r="107" spans="1:1" x14ac:dyDescent="0.45">
      <c r="A107" s="15">
        <v>6</v>
      </c>
    </row>
    <row r="108" spans="1:1" x14ac:dyDescent="0.45">
      <c r="A108" s="15">
        <v>2</v>
      </c>
    </row>
    <row r="109" spans="1:1" x14ac:dyDescent="0.45">
      <c r="A109" s="15">
        <v>6</v>
      </c>
    </row>
    <row r="110" spans="1:1" x14ac:dyDescent="0.45">
      <c r="A110" s="15">
        <v>2</v>
      </c>
    </row>
    <row r="111" spans="1:1" x14ac:dyDescent="0.45">
      <c r="A111" s="15">
        <v>5</v>
      </c>
    </row>
    <row r="112" spans="1:1" x14ac:dyDescent="0.45">
      <c r="A112" s="15">
        <v>6</v>
      </c>
    </row>
    <row r="113" spans="1:1" x14ac:dyDescent="0.45">
      <c r="A113" s="15">
        <v>5</v>
      </c>
    </row>
    <row r="114" spans="1:1" x14ac:dyDescent="0.45">
      <c r="A114" s="15">
        <v>0</v>
      </c>
    </row>
    <row r="115" spans="1:1" x14ac:dyDescent="0.45">
      <c r="A115" s="15">
        <v>4</v>
      </c>
    </row>
    <row r="116" spans="1:1" x14ac:dyDescent="0.45">
      <c r="A116" s="15">
        <v>1</v>
      </c>
    </row>
    <row r="117" spans="1:1" x14ac:dyDescent="0.45">
      <c r="A117" s="15">
        <v>0</v>
      </c>
    </row>
    <row r="118" spans="1:1" x14ac:dyDescent="0.45">
      <c r="A118" s="15">
        <v>2</v>
      </c>
    </row>
    <row r="119" spans="1:1" x14ac:dyDescent="0.45">
      <c r="A119" s="15">
        <v>6</v>
      </c>
    </row>
    <row r="120" spans="1:1" x14ac:dyDescent="0.45">
      <c r="A120" s="15">
        <v>2</v>
      </c>
    </row>
    <row r="121" spans="1:1" x14ac:dyDescent="0.45">
      <c r="A121" s="15">
        <v>0</v>
      </c>
    </row>
    <row r="122" spans="1:1" x14ac:dyDescent="0.45">
      <c r="A122" s="15">
        <v>0</v>
      </c>
    </row>
    <row r="123" spans="1:1" x14ac:dyDescent="0.45">
      <c r="A123" s="15">
        <v>6</v>
      </c>
    </row>
    <row r="124" spans="1:1" x14ac:dyDescent="0.45">
      <c r="A124" s="15">
        <v>0</v>
      </c>
    </row>
    <row r="125" spans="1:1" x14ac:dyDescent="0.45">
      <c r="A125" s="15">
        <v>5</v>
      </c>
    </row>
    <row r="126" spans="1:1" x14ac:dyDescent="0.45">
      <c r="A126" s="15">
        <v>0</v>
      </c>
    </row>
    <row r="127" spans="1:1" x14ac:dyDescent="0.45">
      <c r="A127" s="15">
        <v>6</v>
      </c>
    </row>
    <row r="128" spans="1:1" x14ac:dyDescent="0.45">
      <c r="A128" s="15">
        <v>3</v>
      </c>
    </row>
    <row r="129" spans="1:1" x14ac:dyDescent="0.45">
      <c r="A129" s="15">
        <v>4</v>
      </c>
    </row>
    <row r="130" spans="1:1" x14ac:dyDescent="0.45">
      <c r="A130" s="15">
        <v>6</v>
      </c>
    </row>
    <row r="131" spans="1:1" x14ac:dyDescent="0.45">
      <c r="A131" s="15">
        <v>0</v>
      </c>
    </row>
    <row r="132" spans="1:1" x14ac:dyDescent="0.45">
      <c r="A132" s="15">
        <v>2</v>
      </c>
    </row>
    <row r="133" spans="1:1" x14ac:dyDescent="0.45">
      <c r="A133" s="15">
        <v>5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BA7F0-DE04-47AD-9257-164FE2A6C8FC}">
  <dimension ref="A9:K59"/>
  <sheetViews>
    <sheetView topLeftCell="A24" zoomScale="112" zoomScaleNormal="224" workbookViewId="0">
      <selection activeCell="P41" sqref="P41"/>
    </sheetView>
  </sheetViews>
  <sheetFormatPr defaultRowHeight="14.25" x14ac:dyDescent="0.45"/>
  <cols>
    <col min="6" max="6" width="11.1328125" customWidth="1"/>
    <col min="7" max="7" width="12.265625" customWidth="1"/>
  </cols>
  <sheetData>
    <row r="9" spans="1:6" x14ac:dyDescent="0.45">
      <c r="A9" s="1" t="s">
        <v>0</v>
      </c>
    </row>
    <row r="10" spans="1:6" x14ac:dyDescent="0.45">
      <c r="A10">
        <v>2.89</v>
      </c>
      <c r="C10" s="1" t="s">
        <v>101</v>
      </c>
      <c r="D10" t="s">
        <v>102</v>
      </c>
    </row>
    <row r="11" spans="1:6" x14ac:dyDescent="0.45">
      <c r="A11">
        <v>2.94</v>
      </c>
      <c r="D11" t="s">
        <v>103</v>
      </c>
    </row>
    <row r="12" spans="1:6" x14ac:dyDescent="0.45">
      <c r="A12">
        <v>3.4</v>
      </c>
    </row>
    <row r="13" spans="1:6" x14ac:dyDescent="0.45">
      <c r="A13">
        <v>3.45</v>
      </c>
      <c r="C13" s="1" t="s">
        <v>104</v>
      </c>
      <c r="D13" t="s">
        <v>105</v>
      </c>
      <c r="F13">
        <f>COUNT(A10:A59)</f>
        <v>50</v>
      </c>
    </row>
    <row r="14" spans="1:6" x14ac:dyDescent="0.45">
      <c r="A14">
        <v>3.24</v>
      </c>
    </row>
    <row r="15" spans="1:6" x14ac:dyDescent="0.45">
      <c r="A15">
        <v>3.14</v>
      </c>
      <c r="D15" t="s">
        <v>106</v>
      </c>
      <c r="F15">
        <f>INT(LOG(50,2))+1</f>
        <v>6</v>
      </c>
    </row>
    <row r="16" spans="1:6" x14ac:dyDescent="0.45">
      <c r="A16">
        <v>3.12</v>
      </c>
    </row>
    <row r="17" spans="1:11" x14ac:dyDescent="0.45">
      <c r="A17">
        <v>3.03</v>
      </c>
      <c r="D17" t="s">
        <v>59</v>
      </c>
      <c r="E17">
        <f>MAX(A10:A59)</f>
        <v>3.48</v>
      </c>
    </row>
    <row r="18" spans="1:11" x14ac:dyDescent="0.45">
      <c r="A18">
        <v>3.28</v>
      </c>
      <c r="D18" t="s">
        <v>58</v>
      </c>
      <c r="E18">
        <f>MIN(A10:A59)</f>
        <v>2.56</v>
      </c>
    </row>
    <row r="19" spans="1:11" x14ac:dyDescent="0.45">
      <c r="A19">
        <v>3.12</v>
      </c>
    </row>
    <row r="20" spans="1:11" x14ac:dyDescent="0.45">
      <c r="A20">
        <v>3.21</v>
      </c>
      <c r="D20" t="s">
        <v>107</v>
      </c>
    </row>
    <row r="21" spans="1:11" x14ac:dyDescent="0.45">
      <c r="A21">
        <v>3.17</v>
      </c>
      <c r="D21">
        <f>(E17-E18)/6</f>
        <v>0.15333333333333332</v>
      </c>
      <c r="E21" s="52">
        <v>0.16</v>
      </c>
      <c r="F21" s="2"/>
    </row>
    <row r="22" spans="1:11" x14ac:dyDescent="0.45">
      <c r="A22">
        <v>3.02</v>
      </c>
      <c r="F22" s="2"/>
      <c r="H22" s="6"/>
      <c r="J22" s="9"/>
    </row>
    <row r="23" spans="1:11" x14ac:dyDescent="0.45">
      <c r="A23">
        <v>2.94</v>
      </c>
      <c r="D23" t="s">
        <v>78</v>
      </c>
      <c r="F23" s="2"/>
      <c r="H23" s="6"/>
      <c r="J23" s="9"/>
    </row>
    <row r="24" spans="1:11" ht="14.65" thickBot="1" x14ac:dyDescent="0.5">
      <c r="A24">
        <v>3</v>
      </c>
      <c r="F24" s="2"/>
      <c r="G24" t="s">
        <v>37</v>
      </c>
      <c r="H24" s="6"/>
      <c r="J24" s="9"/>
    </row>
    <row r="25" spans="1:11" x14ac:dyDescent="0.45">
      <c r="A25">
        <v>2.72</v>
      </c>
      <c r="D25">
        <v>2.5499999999999998</v>
      </c>
      <c r="F25" s="2"/>
      <c r="G25" s="40" t="s">
        <v>79</v>
      </c>
      <c r="H25" s="68" t="s">
        <v>12</v>
      </c>
      <c r="I25" s="41" t="s">
        <v>13</v>
      </c>
      <c r="J25" s="69" t="s">
        <v>28</v>
      </c>
      <c r="K25" s="42" t="s">
        <v>29</v>
      </c>
    </row>
    <row r="26" spans="1:11" x14ac:dyDescent="0.45">
      <c r="A26">
        <v>3.01</v>
      </c>
      <c r="D26">
        <f>D25+0.16</f>
        <v>2.71</v>
      </c>
      <c r="F26" s="2"/>
      <c r="G26" s="53" t="str">
        <f>CONCATENATE("]",D25,";",D26,"]")</f>
        <v>]2,55;2,71]</v>
      </c>
      <c r="H26" s="70">
        <f t="array" ref="H26:H31">FREQUENCY(A10:A59,D26:D31)</f>
        <v>3</v>
      </c>
      <c r="I26" s="71">
        <f>H26/50</f>
        <v>0.06</v>
      </c>
      <c r="J26" s="72">
        <f>H26</f>
        <v>3</v>
      </c>
      <c r="K26" s="73">
        <f>I26</f>
        <v>0.06</v>
      </c>
    </row>
    <row r="27" spans="1:11" x14ac:dyDescent="0.45">
      <c r="A27">
        <v>2.96</v>
      </c>
      <c r="D27">
        <f t="shared" ref="D27:D31" si="0">D26+0.16</f>
        <v>2.87</v>
      </c>
      <c r="F27" s="2"/>
      <c r="G27" s="53" t="str">
        <f t="shared" ref="G27:G31" si="1">CONCATENATE("]",D26,";",D27,"]")</f>
        <v>]2,71;2,87]</v>
      </c>
      <c r="H27" s="70">
        <v>8</v>
      </c>
      <c r="I27" s="71">
        <f t="shared" ref="I27:I31" si="2">H27/50</f>
        <v>0.16</v>
      </c>
      <c r="J27" s="72">
        <f>J26+H27</f>
        <v>11</v>
      </c>
      <c r="K27" s="73">
        <f>K26+I27</f>
        <v>0.22</v>
      </c>
    </row>
    <row r="28" spans="1:11" x14ac:dyDescent="0.45">
      <c r="A28">
        <v>3</v>
      </c>
      <c r="D28">
        <f t="shared" si="0"/>
        <v>3.0300000000000002</v>
      </c>
      <c r="G28" s="53" t="str">
        <f t="shared" si="1"/>
        <v>]2,87;3,03]</v>
      </c>
      <c r="H28" s="72">
        <v>19</v>
      </c>
      <c r="I28" s="71">
        <f t="shared" si="2"/>
        <v>0.38</v>
      </c>
      <c r="J28" s="72">
        <f t="shared" ref="J28:J31" si="3">J27+H28</f>
        <v>30</v>
      </c>
      <c r="K28" s="73">
        <f t="shared" ref="K28:K31" si="4">K27+I28</f>
        <v>0.6</v>
      </c>
    </row>
    <row r="29" spans="1:11" x14ac:dyDescent="0.45">
      <c r="A29">
        <v>3.25</v>
      </c>
      <c r="D29">
        <f t="shared" si="0"/>
        <v>3.1900000000000004</v>
      </c>
      <c r="G29" s="53" t="str">
        <f t="shared" si="1"/>
        <v>]3,03;3,19]</v>
      </c>
      <c r="H29" s="72">
        <v>8</v>
      </c>
      <c r="I29" s="71">
        <f t="shared" si="2"/>
        <v>0.16</v>
      </c>
      <c r="J29" s="72">
        <f t="shared" si="3"/>
        <v>38</v>
      </c>
      <c r="K29" s="73">
        <f t="shared" si="4"/>
        <v>0.76</v>
      </c>
    </row>
    <row r="30" spans="1:11" x14ac:dyDescent="0.45">
      <c r="A30">
        <v>2.73</v>
      </c>
      <c r="D30">
        <f t="shared" si="0"/>
        <v>3.3500000000000005</v>
      </c>
      <c r="G30" s="53" t="str">
        <f t="shared" si="1"/>
        <v>]3,19;3,35]</v>
      </c>
      <c r="H30" s="72">
        <v>9</v>
      </c>
      <c r="I30" s="71">
        <f t="shared" si="2"/>
        <v>0.18</v>
      </c>
      <c r="J30" s="72">
        <f t="shared" si="3"/>
        <v>47</v>
      </c>
      <c r="K30" s="73">
        <f t="shared" si="4"/>
        <v>0.94</v>
      </c>
    </row>
    <row r="31" spans="1:11" ht="14.65" thickBot="1" x14ac:dyDescent="0.5">
      <c r="A31">
        <v>2.86</v>
      </c>
      <c r="D31">
        <f t="shared" si="0"/>
        <v>3.5100000000000007</v>
      </c>
      <c r="G31" s="54" t="str">
        <f t="shared" si="1"/>
        <v>]3,35;3,51]</v>
      </c>
      <c r="H31" s="74">
        <v>3</v>
      </c>
      <c r="I31" s="75">
        <f t="shared" si="2"/>
        <v>0.06</v>
      </c>
      <c r="J31" s="74">
        <f t="shared" si="3"/>
        <v>50</v>
      </c>
      <c r="K31" s="59">
        <f t="shared" si="4"/>
        <v>1</v>
      </c>
    </row>
    <row r="32" spans="1:11" x14ac:dyDescent="0.45">
      <c r="A32">
        <v>2.99</v>
      </c>
    </row>
    <row r="33" spans="1:3" x14ac:dyDescent="0.45">
      <c r="A33">
        <v>2.97</v>
      </c>
      <c r="C33" s="1" t="s">
        <v>108</v>
      </c>
    </row>
    <row r="34" spans="1:3" x14ac:dyDescent="0.45">
      <c r="A34">
        <v>3.48</v>
      </c>
    </row>
    <row r="35" spans="1:3" x14ac:dyDescent="0.45">
      <c r="A35">
        <v>2.96</v>
      </c>
    </row>
    <row r="36" spans="1:3" x14ac:dyDescent="0.45">
      <c r="A36">
        <v>2.57</v>
      </c>
    </row>
    <row r="37" spans="1:3" x14ac:dyDescent="0.45">
      <c r="A37">
        <v>2.87</v>
      </c>
    </row>
    <row r="38" spans="1:3" x14ac:dyDescent="0.45">
      <c r="A38">
        <v>3.24</v>
      </c>
    </row>
    <row r="39" spans="1:3" x14ac:dyDescent="0.45">
      <c r="A39">
        <v>2.88</v>
      </c>
    </row>
    <row r="40" spans="1:3" x14ac:dyDescent="0.45">
      <c r="A40">
        <v>3.19</v>
      </c>
    </row>
    <row r="41" spans="1:3" x14ac:dyDescent="0.45">
      <c r="A41">
        <v>2.7</v>
      </c>
    </row>
    <row r="42" spans="1:3" x14ac:dyDescent="0.45">
      <c r="A42">
        <v>3.26</v>
      </c>
    </row>
    <row r="43" spans="1:3" x14ac:dyDescent="0.45">
      <c r="A43">
        <v>2.96</v>
      </c>
    </row>
    <row r="44" spans="1:3" x14ac:dyDescent="0.45">
      <c r="A44">
        <v>2.94</v>
      </c>
    </row>
    <row r="45" spans="1:3" x14ac:dyDescent="0.45">
      <c r="A45">
        <v>3.14</v>
      </c>
    </row>
    <row r="46" spans="1:3" x14ac:dyDescent="0.45">
      <c r="A46">
        <v>3.21</v>
      </c>
    </row>
    <row r="47" spans="1:3" x14ac:dyDescent="0.45">
      <c r="A47">
        <v>2.9</v>
      </c>
    </row>
    <row r="48" spans="1:3" x14ac:dyDescent="0.45">
      <c r="A48">
        <v>2.79</v>
      </c>
    </row>
    <row r="49" spans="1:1" x14ac:dyDescent="0.45">
      <c r="A49">
        <v>3.29</v>
      </c>
    </row>
    <row r="50" spans="1:1" x14ac:dyDescent="0.45">
      <c r="A50">
        <v>2.98</v>
      </c>
    </row>
    <row r="51" spans="1:1" x14ac:dyDescent="0.45">
      <c r="A51">
        <v>3.1</v>
      </c>
    </row>
    <row r="52" spans="1:1" x14ac:dyDescent="0.45">
      <c r="A52">
        <v>3.22</v>
      </c>
    </row>
    <row r="53" spans="1:1" x14ac:dyDescent="0.45">
      <c r="A53">
        <v>2.75</v>
      </c>
    </row>
    <row r="54" spans="1:1" x14ac:dyDescent="0.45">
      <c r="A54">
        <v>2.92</v>
      </c>
    </row>
    <row r="55" spans="1:1" x14ac:dyDescent="0.45">
      <c r="A55">
        <v>3.04</v>
      </c>
    </row>
    <row r="56" spans="1:1" x14ac:dyDescent="0.45">
      <c r="A56">
        <v>2.56</v>
      </c>
    </row>
    <row r="57" spans="1:1" x14ac:dyDescent="0.45">
      <c r="A57">
        <v>3.02</v>
      </c>
    </row>
    <row r="58" spans="1:1" x14ac:dyDescent="0.45">
      <c r="A58">
        <v>2.82</v>
      </c>
    </row>
    <row r="59" spans="1:1" x14ac:dyDescent="0.45">
      <c r="A59">
        <v>2.85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41E9-F0A3-4EC3-97E8-75756D58D4FE}">
  <dimension ref="A16:L122"/>
  <sheetViews>
    <sheetView topLeftCell="A24" zoomScale="170" workbookViewId="0">
      <selection activeCell="C39" sqref="C39"/>
    </sheetView>
  </sheetViews>
  <sheetFormatPr defaultRowHeight="14.25" x14ac:dyDescent="0.45"/>
  <cols>
    <col min="1" max="1" width="14.3984375" customWidth="1"/>
    <col min="3" max="3" width="17.73046875" customWidth="1"/>
  </cols>
  <sheetData>
    <row r="16" spans="1:3" x14ac:dyDescent="0.45">
      <c r="A16" s="8" t="s">
        <v>0</v>
      </c>
      <c r="C16" s="1" t="s">
        <v>128</v>
      </c>
    </row>
    <row r="17" spans="1:9" x14ac:dyDescent="0.45">
      <c r="A17" s="2">
        <v>9</v>
      </c>
      <c r="C17" t="s">
        <v>129</v>
      </c>
    </row>
    <row r="18" spans="1:9" x14ac:dyDescent="0.45">
      <c r="A18" s="2">
        <v>7</v>
      </c>
    </row>
    <row r="19" spans="1:9" x14ac:dyDescent="0.45">
      <c r="A19" s="2">
        <v>5</v>
      </c>
      <c r="C19" s="1" t="s">
        <v>130</v>
      </c>
      <c r="D19" s="1"/>
    </row>
    <row r="20" spans="1:9" x14ac:dyDescent="0.45">
      <c r="A20" s="2">
        <v>10</v>
      </c>
      <c r="C20" t="s">
        <v>14</v>
      </c>
      <c r="D20">
        <f>COUNT(A17:A122)</f>
        <v>106</v>
      </c>
    </row>
    <row r="21" spans="1:9" x14ac:dyDescent="0.45">
      <c r="A21" s="2">
        <v>9</v>
      </c>
      <c r="C21" t="s">
        <v>106</v>
      </c>
      <c r="D21">
        <f>INT(LOG(106,2))+1</f>
        <v>7</v>
      </c>
    </row>
    <row r="22" spans="1:9" x14ac:dyDescent="0.45">
      <c r="A22" s="2">
        <v>9</v>
      </c>
      <c r="C22" s="1"/>
      <c r="D22" s="1"/>
    </row>
    <row r="23" spans="1:9" x14ac:dyDescent="0.45">
      <c r="A23" s="2">
        <v>6</v>
      </c>
      <c r="C23" t="s">
        <v>131</v>
      </c>
      <c r="D23">
        <f>MAX(A17:A122)</f>
        <v>44</v>
      </c>
    </row>
    <row r="24" spans="1:9" x14ac:dyDescent="0.45">
      <c r="A24" s="2">
        <v>7</v>
      </c>
      <c r="C24" t="s">
        <v>132</v>
      </c>
      <c r="D24">
        <f>MIN(A17:A122)</f>
        <v>5</v>
      </c>
    </row>
    <row r="25" spans="1:9" x14ac:dyDescent="0.45">
      <c r="A25" s="2">
        <v>10</v>
      </c>
    </row>
    <row r="26" spans="1:9" x14ac:dyDescent="0.45">
      <c r="A26" s="2">
        <v>6</v>
      </c>
      <c r="C26" t="s">
        <v>107</v>
      </c>
    </row>
    <row r="27" spans="1:9" x14ac:dyDescent="0.45">
      <c r="A27" s="2">
        <v>7</v>
      </c>
      <c r="C27">
        <f>(D23-D24)/7</f>
        <v>5.5714285714285712</v>
      </c>
      <c r="D27" s="52">
        <v>6</v>
      </c>
      <c r="E27" s="22"/>
      <c r="F27" s="22"/>
      <c r="G27" s="22"/>
      <c r="H27" s="22"/>
      <c r="I27" s="22"/>
    </row>
    <row r="28" spans="1:9" x14ac:dyDescent="0.45">
      <c r="A28" s="2">
        <v>10</v>
      </c>
      <c r="E28" s="18"/>
      <c r="F28" s="18"/>
      <c r="G28" s="18"/>
      <c r="H28" s="18"/>
      <c r="I28" s="18"/>
    </row>
    <row r="29" spans="1:9" x14ac:dyDescent="0.45">
      <c r="A29" s="2">
        <v>10</v>
      </c>
      <c r="C29" t="s">
        <v>78</v>
      </c>
      <c r="E29" s="19" t="s">
        <v>37</v>
      </c>
      <c r="F29" s="19"/>
      <c r="G29" s="20"/>
      <c r="H29" s="19"/>
      <c r="I29" s="21"/>
    </row>
    <row r="30" spans="1:9" x14ac:dyDescent="0.45">
      <c r="A30" s="2">
        <v>9</v>
      </c>
      <c r="C30">
        <v>4</v>
      </c>
      <c r="E30" s="19" t="s">
        <v>79</v>
      </c>
      <c r="F30" s="19" t="s">
        <v>12</v>
      </c>
      <c r="G30" s="20" t="s">
        <v>13</v>
      </c>
      <c r="H30" s="19" t="s">
        <v>28</v>
      </c>
      <c r="I30" s="21" t="s">
        <v>29</v>
      </c>
    </row>
    <row r="31" spans="1:9" x14ac:dyDescent="0.45">
      <c r="A31" s="2">
        <v>6</v>
      </c>
      <c r="C31">
        <f>C30+6</f>
        <v>10</v>
      </c>
      <c r="E31" s="19" t="str">
        <f>CONCATENATE("]",C30,";",C31,"]")</f>
        <v>]4;10]</v>
      </c>
      <c r="F31" s="77">
        <f t="array" ref="F31:F37">FREQUENCY(A17:A122,C31:C37)</f>
        <v>16</v>
      </c>
      <c r="G31" s="20">
        <f>F31/106</f>
        <v>0.15094339622641509</v>
      </c>
      <c r="H31" s="19">
        <f>F31</f>
        <v>16</v>
      </c>
      <c r="I31" s="21">
        <f>G31</f>
        <v>0.15094339622641509</v>
      </c>
    </row>
    <row r="32" spans="1:9" x14ac:dyDescent="0.45">
      <c r="A32" s="2">
        <v>5</v>
      </c>
      <c r="C32">
        <f t="shared" ref="C32:C37" si="0">C31+6</f>
        <v>16</v>
      </c>
      <c r="E32" s="19" t="str">
        <f t="shared" ref="E32:E36" si="1">CONCATENATE("]",C31,";",C32,"]")</f>
        <v>]10;16]</v>
      </c>
      <c r="F32" s="77">
        <v>34</v>
      </c>
      <c r="G32" s="20">
        <f t="shared" ref="G32:G37" si="2">F32/106</f>
        <v>0.32075471698113206</v>
      </c>
      <c r="H32" s="19">
        <f>H31+F32</f>
        <v>50</v>
      </c>
      <c r="I32" s="21">
        <f>I31+G32</f>
        <v>0.47169811320754718</v>
      </c>
    </row>
    <row r="33" spans="1:9" x14ac:dyDescent="0.45">
      <c r="A33" s="2">
        <v>15</v>
      </c>
      <c r="C33">
        <f t="shared" si="0"/>
        <v>22</v>
      </c>
      <c r="E33" s="19" t="str">
        <f t="shared" si="1"/>
        <v>]16;22]</v>
      </c>
      <c r="F33" s="77">
        <v>18</v>
      </c>
      <c r="G33" s="20">
        <f t="shared" si="2"/>
        <v>0.16981132075471697</v>
      </c>
      <c r="H33" s="19">
        <f t="shared" ref="H33:H37" si="3">H32+F33</f>
        <v>68</v>
      </c>
      <c r="I33" s="21">
        <f t="shared" ref="I33:I37" si="4">I32+G33</f>
        <v>0.64150943396226412</v>
      </c>
    </row>
    <row r="34" spans="1:9" x14ac:dyDescent="0.45">
      <c r="A34" s="2">
        <v>11</v>
      </c>
      <c r="C34">
        <f t="shared" si="0"/>
        <v>28</v>
      </c>
      <c r="E34" s="19" t="str">
        <f t="shared" si="1"/>
        <v>]22;28]</v>
      </c>
      <c r="F34" s="77">
        <v>22</v>
      </c>
      <c r="G34" s="20">
        <f t="shared" si="2"/>
        <v>0.20754716981132076</v>
      </c>
      <c r="H34" s="19">
        <f t="shared" si="3"/>
        <v>90</v>
      </c>
      <c r="I34" s="21">
        <f t="shared" si="4"/>
        <v>0.84905660377358494</v>
      </c>
    </row>
    <row r="35" spans="1:9" x14ac:dyDescent="0.45">
      <c r="A35" s="2">
        <v>13</v>
      </c>
      <c r="C35">
        <f t="shared" si="0"/>
        <v>34</v>
      </c>
      <c r="E35" s="19" t="str">
        <f t="shared" si="1"/>
        <v>]28;34]</v>
      </c>
      <c r="F35" s="77">
        <v>7</v>
      </c>
      <c r="G35" s="20">
        <f t="shared" si="2"/>
        <v>6.6037735849056603E-2</v>
      </c>
      <c r="H35" s="19">
        <f t="shared" si="3"/>
        <v>97</v>
      </c>
      <c r="I35" s="21">
        <f t="shared" si="4"/>
        <v>0.91509433962264153</v>
      </c>
    </row>
    <row r="36" spans="1:9" x14ac:dyDescent="0.45">
      <c r="A36" s="2">
        <v>12</v>
      </c>
      <c r="C36">
        <f t="shared" si="0"/>
        <v>40</v>
      </c>
      <c r="E36" s="19" t="str">
        <f t="shared" si="1"/>
        <v>]34;40]</v>
      </c>
      <c r="F36">
        <v>6</v>
      </c>
      <c r="G36" s="20">
        <f t="shared" si="2"/>
        <v>5.6603773584905662E-2</v>
      </c>
      <c r="H36" s="19">
        <f t="shared" si="3"/>
        <v>103</v>
      </c>
      <c r="I36" s="21">
        <f t="shared" si="4"/>
        <v>0.97169811320754718</v>
      </c>
    </row>
    <row r="37" spans="1:9" x14ac:dyDescent="0.45">
      <c r="A37" s="2">
        <v>14</v>
      </c>
      <c r="C37">
        <f t="shared" si="0"/>
        <v>46</v>
      </c>
      <c r="E37" s="19" t="str">
        <f>CONCATENATE("]",C36,";",C37,"]")</f>
        <v>]40;46]</v>
      </c>
      <c r="F37">
        <v>3</v>
      </c>
      <c r="G37" s="20">
        <f t="shared" si="2"/>
        <v>2.8301886792452831E-2</v>
      </c>
      <c r="H37" s="19">
        <f t="shared" si="3"/>
        <v>106</v>
      </c>
      <c r="I37" s="21">
        <f t="shared" si="4"/>
        <v>1</v>
      </c>
    </row>
    <row r="38" spans="1:9" x14ac:dyDescent="0.45">
      <c r="A38" s="2">
        <v>15</v>
      </c>
      <c r="C38" s="1"/>
    </row>
    <row r="39" spans="1:9" x14ac:dyDescent="0.45">
      <c r="A39" s="2">
        <v>15</v>
      </c>
      <c r="C39" s="1"/>
    </row>
    <row r="40" spans="1:9" x14ac:dyDescent="0.45">
      <c r="A40" s="2">
        <v>15</v>
      </c>
    </row>
    <row r="41" spans="1:9" x14ac:dyDescent="0.45">
      <c r="A41" s="2">
        <v>12</v>
      </c>
    </row>
    <row r="42" spans="1:9" x14ac:dyDescent="0.45">
      <c r="A42" s="2">
        <v>14</v>
      </c>
    </row>
    <row r="43" spans="1:9" x14ac:dyDescent="0.45">
      <c r="A43" s="2">
        <v>14</v>
      </c>
    </row>
    <row r="44" spans="1:9" x14ac:dyDescent="0.45">
      <c r="A44" s="2">
        <v>13</v>
      </c>
    </row>
    <row r="45" spans="1:9" x14ac:dyDescent="0.45">
      <c r="A45" s="2">
        <v>15</v>
      </c>
    </row>
    <row r="46" spans="1:9" x14ac:dyDescent="0.45">
      <c r="A46" s="2">
        <v>13</v>
      </c>
    </row>
    <row r="47" spans="1:9" x14ac:dyDescent="0.45">
      <c r="A47" s="2">
        <v>15</v>
      </c>
    </row>
    <row r="48" spans="1:9" x14ac:dyDescent="0.45">
      <c r="A48" s="2">
        <v>14</v>
      </c>
    </row>
    <row r="49" spans="1:12" x14ac:dyDescent="0.45">
      <c r="A49" s="2">
        <v>12</v>
      </c>
    </row>
    <row r="50" spans="1:12" x14ac:dyDescent="0.45">
      <c r="A50" s="2">
        <v>13</v>
      </c>
    </row>
    <row r="51" spans="1:12" x14ac:dyDescent="0.45">
      <c r="A51" s="2">
        <v>14</v>
      </c>
    </row>
    <row r="52" spans="1:12" x14ac:dyDescent="0.45">
      <c r="A52" s="2">
        <v>12</v>
      </c>
    </row>
    <row r="53" spans="1:12" x14ac:dyDescent="0.45">
      <c r="A53" s="2">
        <v>14</v>
      </c>
    </row>
    <row r="54" spans="1:12" x14ac:dyDescent="0.45">
      <c r="A54" s="2">
        <v>12</v>
      </c>
    </row>
    <row r="55" spans="1:12" x14ac:dyDescent="0.45">
      <c r="A55" s="2">
        <v>13</v>
      </c>
    </row>
    <row r="56" spans="1:12" x14ac:dyDescent="0.45">
      <c r="A56" s="2">
        <v>13</v>
      </c>
    </row>
    <row r="57" spans="1:12" x14ac:dyDescent="0.45">
      <c r="A57" s="2">
        <v>11</v>
      </c>
      <c r="K57" s="14"/>
      <c r="L57" s="14"/>
    </row>
    <row r="58" spans="1:12" x14ac:dyDescent="0.45">
      <c r="A58" s="2">
        <v>14</v>
      </c>
    </row>
    <row r="59" spans="1:12" x14ac:dyDescent="0.45">
      <c r="A59" s="2">
        <v>13</v>
      </c>
    </row>
    <row r="60" spans="1:12" x14ac:dyDescent="0.45">
      <c r="A60" s="2">
        <v>13</v>
      </c>
    </row>
    <row r="61" spans="1:12" x14ac:dyDescent="0.45">
      <c r="A61" s="2">
        <v>17</v>
      </c>
    </row>
    <row r="62" spans="1:12" x14ac:dyDescent="0.45">
      <c r="A62" s="2">
        <v>21</v>
      </c>
    </row>
    <row r="63" spans="1:12" x14ac:dyDescent="0.45">
      <c r="A63" s="2">
        <v>18</v>
      </c>
    </row>
    <row r="64" spans="1:12" x14ac:dyDescent="0.45">
      <c r="A64" s="2">
        <v>19</v>
      </c>
    </row>
    <row r="65" spans="1:4" x14ac:dyDescent="0.45">
      <c r="A65" s="2">
        <v>23</v>
      </c>
    </row>
    <row r="66" spans="1:4" x14ac:dyDescent="0.45">
      <c r="A66" s="2">
        <v>25</v>
      </c>
    </row>
    <row r="67" spans="1:4" x14ac:dyDescent="0.45">
      <c r="A67" s="2">
        <v>24</v>
      </c>
    </row>
    <row r="68" spans="1:4" x14ac:dyDescent="0.45">
      <c r="A68" s="2">
        <v>19</v>
      </c>
    </row>
    <row r="69" spans="1:4" x14ac:dyDescent="0.45">
      <c r="A69" s="2">
        <v>22</v>
      </c>
    </row>
    <row r="70" spans="1:4" x14ac:dyDescent="0.45">
      <c r="A70" s="2">
        <v>24</v>
      </c>
      <c r="D70" s="16"/>
    </row>
    <row r="71" spans="1:4" x14ac:dyDescent="0.45">
      <c r="A71" s="2">
        <v>16</v>
      </c>
    </row>
    <row r="72" spans="1:4" x14ac:dyDescent="0.45">
      <c r="A72" s="2">
        <v>23</v>
      </c>
    </row>
    <row r="73" spans="1:4" x14ac:dyDescent="0.45">
      <c r="A73" s="2">
        <v>17</v>
      </c>
    </row>
    <row r="74" spans="1:4" x14ac:dyDescent="0.45">
      <c r="A74" s="2">
        <v>16</v>
      </c>
    </row>
    <row r="75" spans="1:4" x14ac:dyDescent="0.45">
      <c r="A75" s="2">
        <v>22</v>
      </c>
    </row>
    <row r="76" spans="1:4" x14ac:dyDescent="0.45">
      <c r="A76" s="2">
        <v>16</v>
      </c>
    </row>
    <row r="77" spans="1:4" x14ac:dyDescent="0.45">
      <c r="A77" s="2">
        <v>20</v>
      </c>
      <c r="C77" s="16"/>
    </row>
    <row r="78" spans="1:4" x14ac:dyDescent="0.45">
      <c r="A78" s="2">
        <v>23</v>
      </c>
      <c r="C78" s="17"/>
    </row>
    <row r="79" spans="1:4" x14ac:dyDescent="0.45">
      <c r="A79" s="2">
        <v>21</v>
      </c>
    </row>
    <row r="80" spans="1:4" x14ac:dyDescent="0.45">
      <c r="A80" s="2">
        <v>24</v>
      </c>
    </row>
    <row r="81" spans="1:1" x14ac:dyDescent="0.45">
      <c r="A81" s="2">
        <v>20</v>
      </c>
    </row>
    <row r="82" spans="1:1" x14ac:dyDescent="0.45">
      <c r="A82" s="2">
        <v>20</v>
      </c>
    </row>
    <row r="83" spans="1:1" x14ac:dyDescent="0.45">
      <c r="A83" s="2">
        <v>24</v>
      </c>
    </row>
    <row r="84" spans="1:1" x14ac:dyDescent="0.45">
      <c r="A84" s="2">
        <v>16</v>
      </c>
    </row>
    <row r="85" spans="1:1" x14ac:dyDescent="0.45">
      <c r="A85" s="2">
        <v>16</v>
      </c>
    </row>
    <row r="86" spans="1:1" x14ac:dyDescent="0.45">
      <c r="A86" s="2">
        <v>16</v>
      </c>
    </row>
    <row r="87" spans="1:1" x14ac:dyDescent="0.45">
      <c r="A87" s="2">
        <v>19</v>
      </c>
    </row>
    <row r="88" spans="1:1" x14ac:dyDescent="0.45">
      <c r="A88" s="2">
        <v>19</v>
      </c>
    </row>
    <row r="89" spans="1:1" x14ac:dyDescent="0.45">
      <c r="A89" s="2">
        <v>20</v>
      </c>
    </row>
    <row r="90" spans="1:1" x14ac:dyDescent="0.45">
      <c r="A90" s="2">
        <v>18</v>
      </c>
    </row>
    <row r="91" spans="1:1" x14ac:dyDescent="0.45">
      <c r="A91" s="2">
        <v>19</v>
      </c>
    </row>
    <row r="92" spans="1:1" x14ac:dyDescent="0.45">
      <c r="A92" s="2">
        <v>17</v>
      </c>
    </row>
    <row r="93" spans="1:1" x14ac:dyDescent="0.45">
      <c r="A93" s="2">
        <v>30</v>
      </c>
    </row>
    <row r="94" spans="1:1" x14ac:dyDescent="0.45">
      <c r="A94" s="2">
        <v>26</v>
      </c>
    </row>
    <row r="95" spans="1:1" x14ac:dyDescent="0.45">
      <c r="A95" s="2">
        <v>26</v>
      </c>
    </row>
    <row r="96" spans="1:1" x14ac:dyDescent="0.45">
      <c r="A96" s="2">
        <v>27</v>
      </c>
    </row>
    <row r="97" spans="1:1" x14ac:dyDescent="0.45">
      <c r="A97" s="2">
        <v>28</v>
      </c>
    </row>
    <row r="98" spans="1:1" x14ac:dyDescent="0.45">
      <c r="A98" s="2">
        <v>27</v>
      </c>
    </row>
    <row r="99" spans="1:1" x14ac:dyDescent="0.45">
      <c r="A99" s="2">
        <v>27</v>
      </c>
    </row>
    <row r="100" spans="1:1" x14ac:dyDescent="0.45">
      <c r="A100" s="2">
        <v>26</v>
      </c>
    </row>
    <row r="101" spans="1:1" x14ac:dyDescent="0.45">
      <c r="A101" s="2">
        <v>28</v>
      </c>
    </row>
    <row r="102" spans="1:1" x14ac:dyDescent="0.45">
      <c r="A102" s="2">
        <v>29</v>
      </c>
    </row>
    <row r="103" spans="1:1" x14ac:dyDescent="0.45">
      <c r="A103" s="2">
        <v>26</v>
      </c>
    </row>
    <row r="104" spans="1:1" x14ac:dyDescent="0.45">
      <c r="A104" s="2">
        <v>27</v>
      </c>
    </row>
    <row r="105" spans="1:1" x14ac:dyDescent="0.45">
      <c r="A105" s="2">
        <v>30</v>
      </c>
    </row>
    <row r="106" spans="1:1" x14ac:dyDescent="0.45">
      <c r="A106" s="2">
        <v>28</v>
      </c>
    </row>
    <row r="107" spans="1:1" x14ac:dyDescent="0.45">
      <c r="A107" s="2">
        <v>29</v>
      </c>
    </row>
    <row r="108" spans="1:1" x14ac:dyDescent="0.45">
      <c r="A108" s="2">
        <v>28</v>
      </c>
    </row>
    <row r="109" spans="1:1" x14ac:dyDescent="0.45">
      <c r="A109" s="2">
        <v>28</v>
      </c>
    </row>
    <row r="110" spans="1:1" x14ac:dyDescent="0.45">
      <c r="A110" s="2">
        <v>29</v>
      </c>
    </row>
    <row r="111" spans="1:1" x14ac:dyDescent="0.45">
      <c r="A111" s="2">
        <v>30</v>
      </c>
    </row>
    <row r="112" spans="1:1" x14ac:dyDescent="0.45">
      <c r="A112" s="2">
        <v>26</v>
      </c>
    </row>
    <row r="113" spans="1:1" x14ac:dyDescent="0.45">
      <c r="A113" s="2">
        <v>36</v>
      </c>
    </row>
    <row r="114" spans="1:1" x14ac:dyDescent="0.45">
      <c r="A114" s="2">
        <v>43</v>
      </c>
    </row>
    <row r="115" spans="1:1" x14ac:dyDescent="0.45">
      <c r="A115" s="2">
        <v>36</v>
      </c>
    </row>
    <row r="116" spans="1:1" x14ac:dyDescent="0.45">
      <c r="A116" s="2">
        <v>44</v>
      </c>
    </row>
    <row r="117" spans="1:1" x14ac:dyDescent="0.45">
      <c r="A117" s="2">
        <v>36</v>
      </c>
    </row>
    <row r="118" spans="1:1" x14ac:dyDescent="0.45">
      <c r="A118" s="2">
        <v>36</v>
      </c>
    </row>
    <row r="119" spans="1:1" x14ac:dyDescent="0.45">
      <c r="A119" s="2">
        <v>31</v>
      </c>
    </row>
    <row r="120" spans="1:1" x14ac:dyDescent="0.45">
      <c r="A120" s="2">
        <v>40</v>
      </c>
    </row>
    <row r="121" spans="1:1" x14ac:dyDescent="0.45">
      <c r="A121" s="2">
        <v>37</v>
      </c>
    </row>
    <row r="122" spans="1:1" x14ac:dyDescent="0.45">
      <c r="A122" s="2">
        <v>43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DFD4D-CBC2-4015-96BC-4249938EBAFB}">
  <dimension ref="A16:Q136"/>
  <sheetViews>
    <sheetView topLeftCell="A54" zoomScale="243" workbookViewId="0">
      <selection activeCell="E55" sqref="E55"/>
    </sheetView>
  </sheetViews>
  <sheetFormatPr defaultRowHeight="14.25" x14ac:dyDescent="0.45"/>
  <cols>
    <col min="1" max="1" width="14" customWidth="1"/>
    <col min="4" max="4" width="10.3984375" customWidth="1"/>
    <col min="5" max="5" width="5.86328125" customWidth="1"/>
    <col min="6" max="6" width="10.86328125" customWidth="1"/>
  </cols>
  <sheetData>
    <row r="16" spans="1:5" x14ac:dyDescent="0.45">
      <c r="A16" s="8" t="s">
        <v>0</v>
      </c>
      <c r="C16" t="s">
        <v>14</v>
      </c>
      <c r="E16">
        <f>COUNT(A17:A136)</f>
        <v>120</v>
      </c>
    </row>
    <row r="17" spans="1:10" x14ac:dyDescent="0.45">
      <c r="A17" s="2">
        <v>0.16</v>
      </c>
    </row>
    <row r="18" spans="1:10" x14ac:dyDescent="0.45">
      <c r="A18" s="2">
        <v>2.71</v>
      </c>
      <c r="C18" t="s">
        <v>76</v>
      </c>
    </row>
    <row r="19" spans="1:10" x14ac:dyDescent="0.45">
      <c r="A19" s="2">
        <v>1.1200000000000001</v>
      </c>
      <c r="C19">
        <f>INT(LOG(120,2))+1</f>
        <v>7</v>
      </c>
    </row>
    <row r="20" spans="1:10" x14ac:dyDescent="0.45">
      <c r="A20" s="2">
        <v>2.14</v>
      </c>
    </row>
    <row r="21" spans="1:10" x14ac:dyDescent="0.45">
      <c r="A21" s="2">
        <v>3.24</v>
      </c>
      <c r="C21" t="s">
        <v>58</v>
      </c>
      <c r="D21">
        <f>MIN(A17:A136)</f>
        <v>0.16</v>
      </c>
    </row>
    <row r="22" spans="1:10" x14ac:dyDescent="0.45">
      <c r="A22" s="2">
        <v>1.43</v>
      </c>
      <c r="C22" t="s">
        <v>59</v>
      </c>
      <c r="D22">
        <f>MAX(A17:A136)</f>
        <v>7.99</v>
      </c>
    </row>
    <row r="23" spans="1:10" x14ac:dyDescent="0.45">
      <c r="A23" s="2">
        <v>0.27</v>
      </c>
    </row>
    <row r="24" spans="1:10" x14ac:dyDescent="0.45">
      <c r="A24" s="2">
        <v>4.34</v>
      </c>
      <c r="C24" t="s">
        <v>77</v>
      </c>
    </row>
    <row r="25" spans="1:10" x14ac:dyDescent="0.45">
      <c r="A25" s="13">
        <v>7</v>
      </c>
      <c r="C25">
        <f>(D22-D21)/7</f>
        <v>1.1185714285714285</v>
      </c>
      <c r="D25" s="52">
        <v>1.1200000000000001</v>
      </c>
    </row>
    <row r="26" spans="1:10" ht="14.65" thickBot="1" x14ac:dyDescent="0.5">
      <c r="A26" s="2">
        <v>5.22</v>
      </c>
      <c r="F26" t="s">
        <v>37</v>
      </c>
    </row>
    <row r="27" spans="1:10" x14ac:dyDescent="0.45">
      <c r="A27" s="13">
        <v>3.51</v>
      </c>
      <c r="C27" t="s">
        <v>78</v>
      </c>
      <c r="F27" s="56" t="s">
        <v>79</v>
      </c>
      <c r="G27" s="78" t="s">
        <v>12</v>
      </c>
      <c r="H27" s="78" t="s">
        <v>13</v>
      </c>
      <c r="I27" s="78" t="s">
        <v>28</v>
      </c>
      <c r="J27" s="57" t="s">
        <v>29</v>
      </c>
    </row>
    <row r="28" spans="1:10" x14ac:dyDescent="0.45">
      <c r="A28" s="2">
        <v>4.2300000000000004</v>
      </c>
      <c r="C28">
        <v>0.15</v>
      </c>
      <c r="F28" s="53" t="str">
        <f>CONCATENATE("]",C28,";",C29,"]")</f>
        <v>]0,15;1,27]</v>
      </c>
      <c r="G28" s="79">
        <f t="array" ref="G28:G34">FREQUENCY(A17:A136,C29:C35)</f>
        <v>23</v>
      </c>
      <c r="H28" s="81">
        <f>G28/120</f>
        <v>0.19166666666666668</v>
      </c>
      <c r="I28" s="79">
        <f>G28</f>
        <v>23</v>
      </c>
      <c r="J28" s="58">
        <f>H28</f>
        <v>0.19166666666666668</v>
      </c>
    </row>
    <row r="29" spans="1:10" x14ac:dyDescent="0.45">
      <c r="A29" s="13">
        <v>2.52</v>
      </c>
      <c r="C29">
        <f>C28+1.12</f>
        <v>1.27</v>
      </c>
      <c r="F29" s="53" t="str">
        <f t="shared" ref="F29:F34" si="0">CONCATENATE("]",C29,";",C30,"]")</f>
        <v>]1,27;2,39]</v>
      </c>
      <c r="G29" s="79">
        <v>28</v>
      </c>
      <c r="H29" s="81">
        <f t="shared" ref="H29:H34" si="1">G29/120</f>
        <v>0.23333333333333334</v>
      </c>
      <c r="I29" s="79">
        <f>I28+G29</f>
        <v>51</v>
      </c>
      <c r="J29" s="58">
        <f>J28+H29</f>
        <v>0.42500000000000004</v>
      </c>
    </row>
    <row r="30" spans="1:10" x14ac:dyDescent="0.45">
      <c r="A30" s="2">
        <v>5.31</v>
      </c>
      <c r="C30">
        <f t="shared" ref="C30:C35" si="2">C29+1.12</f>
        <v>2.39</v>
      </c>
      <c r="F30" s="53" t="str">
        <f t="shared" si="0"/>
        <v>]2,39;3,51]</v>
      </c>
      <c r="G30" s="79">
        <v>26</v>
      </c>
      <c r="H30" s="81">
        <f t="shared" si="1"/>
        <v>0.21666666666666667</v>
      </c>
      <c r="I30" s="79">
        <f t="shared" ref="I30:I34" si="3">I29+G30</f>
        <v>77</v>
      </c>
      <c r="J30" s="58">
        <f t="shared" ref="J30:J34" si="4">J29+H30</f>
        <v>0.64166666666666672</v>
      </c>
    </row>
    <row r="31" spans="1:10" x14ac:dyDescent="0.45">
      <c r="A31" s="2">
        <v>0.28000000000000003</v>
      </c>
      <c r="C31">
        <f t="shared" si="2"/>
        <v>3.5100000000000002</v>
      </c>
      <c r="F31" s="53" t="str">
        <f t="shared" si="0"/>
        <v>]3,51;4,63]</v>
      </c>
      <c r="G31" s="79">
        <v>16</v>
      </c>
      <c r="H31" s="81">
        <f t="shared" si="1"/>
        <v>0.13333333333333333</v>
      </c>
      <c r="I31" s="79">
        <f t="shared" si="3"/>
        <v>93</v>
      </c>
      <c r="J31" s="58">
        <f t="shared" si="4"/>
        <v>0.77500000000000002</v>
      </c>
    </row>
    <row r="32" spans="1:10" x14ac:dyDescent="0.45">
      <c r="A32" s="2">
        <v>1.32</v>
      </c>
      <c r="C32">
        <f t="shared" si="2"/>
        <v>4.6300000000000008</v>
      </c>
      <c r="F32" s="53" t="str">
        <f>CONCATENATE("]",C32,";",C33,"]")</f>
        <v>]4,63;5,75]</v>
      </c>
      <c r="G32" s="79">
        <v>9</v>
      </c>
      <c r="H32" s="81">
        <f t="shared" si="1"/>
        <v>7.4999999999999997E-2</v>
      </c>
      <c r="I32" s="79">
        <f t="shared" si="3"/>
        <v>102</v>
      </c>
      <c r="J32" s="58">
        <f t="shared" si="4"/>
        <v>0.85</v>
      </c>
    </row>
    <row r="33" spans="1:10" x14ac:dyDescent="0.45">
      <c r="A33" s="2">
        <v>2.34</v>
      </c>
      <c r="C33">
        <f t="shared" si="2"/>
        <v>5.7500000000000009</v>
      </c>
      <c r="F33" s="53" t="str">
        <f t="shared" si="0"/>
        <v>]5,75;6,87]</v>
      </c>
      <c r="G33" s="79">
        <v>9</v>
      </c>
      <c r="H33" s="81">
        <f t="shared" si="1"/>
        <v>7.4999999999999997E-2</v>
      </c>
      <c r="I33" s="79">
        <f t="shared" si="3"/>
        <v>111</v>
      </c>
      <c r="J33" s="58">
        <f t="shared" si="4"/>
        <v>0.92499999999999993</v>
      </c>
    </row>
    <row r="34" spans="1:10" ht="14.65" thickBot="1" x14ac:dyDescent="0.5">
      <c r="A34" s="13">
        <v>2.08</v>
      </c>
      <c r="C34">
        <f t="shared" si="2"/>
        <v>6.870000000000001</v>
      </c>
      <c r="F34" s="54" t="str">
        <f t="shared" si="0"/>
        <v>]6,87;7,99]</v>
      </c>
      <c r="G34" s="80">
        <v>9</v>
      </c>
      <c r="H34" s="82">
        <f t="shared" si="1"/>
        <v>7.4999999999999997E-2</v>
      </c>
      <c r="I34" s="80">
        <f t="shared" si="3"/>
        <v>120</v>
      </c>
      <c r="J34" s="59">
        <f t="shared" si="4"/>
        <v>0.99999999999999989</v>
      </c>
    </row>
    <row r="35" spans="1:10" x14ac:dyDescent="0.45">
      <c r="A35" s="2">
        <v>1.24</v>
      </c>
      <c r="C35">
        <f t="shared" si="2"/>
        <v>7.9900000000000011</v>
      </c>
      <c r="F35" t="s">
        <v>80</v>
      </c>
      <c r="G35">
        <f>SUM(G28:G34)</f>
        <v>120</v>
      </c>
      <c r="H35" s="9">
        <f>SUM(H28:H34)</f>
        <v>0.99999999999999989</v>
      </c>
    </row>
    <row r="36" spans="1:10" x14ac:dyDescent="0.45">
      <c r="A36" s="2">
        <v>3.27</v>
      </c>
    </row>
    <row r="37" spans="1:10" x14ac:dyDescent="0.45">
      <c r="A37" s="2">
        <v>2.71</v>
      </c>
      <c r="C37" s="1" t="s">
        <v>81</v>
      </c>
    </row>
    <row r="38" spans="1:10" x14ac:dyDescent="0.45">
      <c r="A38" s="2">
        <v>2.14</v>
      </c>
    </row>
    <row r="39" spans="1:10" x14ac:dyDescent="0.45">
      <c r="A39" s="2">
        <v>6.32</v>
      </c>
    </row>
    <row r="40" spans="1:10" x14ac:dyDescent="0.45">
      <c r="A40" s="2">
        <v>2.2400000000000002</v>
      </c>
    </row>
    <row r="41" spans="1:10" x14ac:dyDescent="0.45">
      <c r="A41" s="2">
        <v>1.73</v>
      </c>
    </row>
    <row r="42" spans="1:10" x14ac:dyDescent="0.45">
      <c r="A42" s="2">
        <v>2.71</v>
      </c>
    </row>
    <row r="43" spans="1:10" x14ac:dyDescent="0.45">
      <c r="A43" s="2">
        <v>7.02</v>
      </c>
    </row>
    <row r="44" spans="1:10" x14ac:dyDescent="0.45">
      <c r="A44" s="13">
        <v>5.12</v>
      </c>
    </row>
    <row r="45" spans="1:10" x14ac:dyDescent="0.45">
      <c r="A45" s="2">
        <v>2.34</v>
      </c>
    </row>
    <row r="46" spans="1:10" x14ac:dyDescent="0.45">
      <c r="A46" s="2">
        <v>2.71</v>
      </c>
    </row>
    <row r="47" spans="1:10" x14ac:dyDescent="0.45">
      <c r="A47" s="2">
        <v>1.24</v>
      </c>
    </row>
    <row r="48" spans="1:10" x14ac:dyDescent="0.45">
      <c r="A48" s="2">
        <v>3.26</v>
      </c>
    </row>
    <row r="49" spans="1:17" x14ac:dyDescent="0.45">
      <c r="A49" s="2">
        <v>1.1599999999999999</v>
      </c>
    </row>
    <row r="50" spans="1:17" ht="14.65" thickBot="1" x14ac:dyDescent="0.5">
      <c r="A50" s="2">
        <v>2.36</v>
      </c>
    </row>
    <row r="51" spans="1:17" x14ac:dyDescent="0.45">
      <c r="A51" s="2">
        <v>6.02</v>
      </c>
      <c r="P51" s="35" t="s">
        <v>48</v>
      </c>
      <c r="Q51" s="35"/>
    </row>
    <row r="52" spans="1:17" x14ac:dyDescent="0.45">
      <c r="A52" s="2">
        <v>2.16</v>
      </c>
      <c r="C52" s="1" t="s">
        <v>100</v>
      </c>
    </row>
    <row r="53" spans="1:17" ht="15.75" x14ac:dyDescent="0.45">
      <c r="A53" s="2">
        <v>2.09</v>
      </c>
      <c r="C53" s="36" t="s">
        <v>109</v>
      </c>
      <c r="P53" t="s">
        <v>49</v>
      </c>
      <c r="Q53">
        <v>3.1331666666666669</v>
      </c>
    </row>
    <row r="54" spans="1:17" ht="15.75" x14ac:dyDescent="0.45">
      <c r="A54" s="2">
        <v>2.11</v>
      </c>
      <c r="C54" s="36" t="s">
        <v>110</v>
      </c>
      <c r="P54" t="s">
        <v>50</v>
      </c>
      <c r="Q54">
        <v>0.18393637705192487</v>
      </c>
    </row>
    <row r="55" spans="1:17" ht="15.75" x14ac:dyDescent="0.45">
      <c r="A55" s="2">
        <v>3.86</v>
      </c>
      <c r="C55" s="36" t="s">
        <v>111</v>
      </c>
      <c r="P55" t="s">
        <v>51</v>
      </c>
      <c r="Q55">
        <v>2.71</v>
      </c>
    </row>
    <row r="56" spans="1:17" ht="15.75" x14ac:dyDescent="0.45">
      <c r="A56" s="2">
        <v>4.5599999999999996</v>
      </c>
      <c r="C56" s="36" t="s">
        <v>112</v>
      </c>
      <c r="P56" t="s">
        <v>52</v>
      </c>
      <c r="Q56">
        <v>2.71</v>
      </c>
    </row>
    <row r="57" spans="1:17" x14ac:dyDescent="0.45">
      <c r="A57" s="2">
        <v>6.09</v>
      </c>
      <c r="P57" t="s">
        <v>53</v>
      </c>
      <c r="Q57">
        <v>2.0149220571422966</v>
      </c>
    </row>
    <row r="58" spans="1:17" x14ac:dyDescent="0.45">
      <c r="A58" s="2">
        <v>1.08</v>
      </c>
      <c r="C58">
        <f>COUNTIF(A17:A136,"&lt;2")</f>
        <v>36</v>
      </c>
      <c r="P58" t="s">
        <v>54</v>
      </c>
      <c r="Q58">
        <v>4.0599108963585442</v>
      </c>
    </row>
    <row r="59" spans="1:17" x14ac:dyDescent="0.45">
      <c r="A59" s="2">
        <v>2.72</v>
      </c>
      <c r="C59" s="6">
        <f>36/120</f>
        <v>0.3</v>
      </c>
      <c r="P59" t="s">
        <v>55</v>
      </c>
      <c r="Q59">
        <v>-0.48425176547887894</v>
      </c>
    </row>
    <row r="60" spans="1:17" x14ac:dyDescent="0.45">
      <c r="A60" s="2">
        <v>2.71</v>
      </c>
      <c r="P60" t="s">
        <v>56</v>
      </c>
      <c r="Q60">
        <v>0.62682972104146395</v>
      </c>
    </row>
    <row r="61" spans="1:17" x14ac:dyDescent="0.45">
      <c r="A61" s="2">
        <v>4.97</v>
      </c>
      <c r="P61" t="s">
        <v>57</v>
      </c>
      <c r="Q61">
        <v>7.83</v>
      </c>
    </row>
    <row r="62" spans="1:17" x14ac:dyDescent="0.45">
      <c r="A62" s="2">
        <v>3.01</v>
      </c>
      <c r="P62" t="s">
        <v>58</v>
      </c>
      <c r="Q62">
        <v>0.16</v>
      </c>
    </row>
    <row r="63" spans="1:17" x14ac:dyDescent="0.45">
      <c r="A63" s="2">
        <v>4.1900000000000004</v>
      </c>
      <c r="P63" t="s">
        <v>59</v>
      </c>
      <c r="Q63">
        <v>7.99</v>
      </c>
    </row>
    <row r="64" spans="1:17" x14ac:dyDescent="0.45">
      <c r="A64" s="2">
        <v>5.22</v>
      </c>
      <c r="P64" t="s">
        <v>60</v>
      </c>
      <c r="Q64">
        <v>375.98</v>
      </c>
    </row>
    <row r="65" spans="1:17" ht="14.65" thickBot="1" x14ac:dyDescent="0.5">
      <c r="A65" s="2">
        <v>3.74</v>
      </c>
      <c r="P65" s="34" t="s">
        <v>61</v>
      </c>
      <c r="Q65" s="34">
        <v>120</v>
      </c>
    </row>
    <row r="66" spans="1:17" x14ac:dyDescent="0.45">
      <c r="A66" s="2">
        <v>2.12</v>
      </c>
    </row>
    <row r="67" spans="1:17" x14ac:dyDescent="0.45">
      <c r="A67" s="2">
        <v>1.46</v>
      </c>
    </row>
    <row r="68" spans="1:17" x14ac:dyDescent="0.45">
      <c r="A68" s="2">
        <v>0.27</v>
      </c>
    </row>
    <row r="69" spans="1:17" x14ac:dyDescent="0.45">
      <c r="A69" s="2">
        <v>1.28</v>
      </c>
    </row>
    <row r="70" spans="1:17" x14ac:dyDescent="0.45">
      <c r="A70" s="2">
        <v>0.39</v>
      </c>
    </row>
    <row r="71" spans="1:17" x14ac:dyDescent="0.45">
      <c r="A71" s="2">
        <v>1.41</v>
      </c>
    </row>
    <row r="72" spans="1:17" x14ac:dyDescent="0.45">
      <c r="A72" s="2">
        <v>0.53</v>
      </c>
    </row>
    <row r="73" spans="1:17" x14ac:dyDescent="0.45">
      <c r="A73" s="2">
        <v>2.67</v>
      </c>
    </row>
    <row r="74" spans="1:17" x14ac:dyDescent="0.45">
      <c r="A74" s="2">
        <v>3.01</v>
      </c>
    </row>
    <row r="75" spans="1:17" x14ac:dyDescent="0.45">
      <c r="A75" s="2">
        <v>3.57</v>
      </c>
    </row>
    <row r="76" spans="1:17" x14ac:dyDescent="0.45">
      <c r="A76" s="2">
        <v>7.01</v>
      </c>
    </row>
    <row r="77" spans="1:17" x14ac:dyDescent="0.45">
      <c r="A77" s="2">
        <v>0.68</v>
      </c>
    </row>
    <row r="78" spans="1:17" x14ac:dyDescent="0.45">
      <c r="A78" s="2">
        <v>1.29</v>
      </c>
    </row>
    <row r="79" spans="1:17" x14ac:dyDescent="0.45">
      <c r="A79" s="2">
        <v>3.71</v>
      </c>
    </row>
    <row r="80" spans="1:17" x14ac:dyDescent="0.45">
      <c r="A80" s="2">
        <v>2.87</v>
      </c>
    </row>
    <row r="81" spans="1:1" x14ac:dyDescent="0.45">
      <c r="A81" s="2">
        <v>1.23</v>
      </c>
    </row>
    <row r="82" spans="1:1" x14ac:dyDescent="0.45">
      <c r="A82" s="2">
        <v>0.79</v>
      </c>
    </row>
    <row r="83" spans="1:1" x14ac:dyDescent="0.45">
      <c r="A83" s="2">
        <v>4.57</v>
      </c>
    </row>
    <row r="84" spans="1:1" x14ac:dyDescent="0.45">
      <c r="A84" s="2">
        <v>2.98</v>
      </c>
    </row>
    <row r="85" spans="1:1" x14ac:dyDescent="0.45">
      <c r="A85" s="2">
        <v>1.73</v>
      </c>
    </row>
    <row r="86" spans="1:1" x14ac:dyDescent="0.45">
      <c r="A86" s="2">
        <v>2.91</v>
      </c>
    </row>
    <row r="87" spans="1:1" x14ac:dyDescent="0.45">
      <c r="A87" s="2">
        <v>0.27</v>
      </c>
    </row>
    <row r="88" spans="1:1" x14ac:dyDescent="0.45">
      <c r="A88" s="2">
        <v>6.83</v>
      </c>
    </row>
    <row r="89" spans="1:1" x14ac:dyDescent="0.45">
      <c r="A89" s="2">
        <v>3.91</v>
      </c>
    </row>
    <row r="90" spans="1:1" x14ac:dyDescent="0.45">
      <c r="A90" s="2">
        <v>2.02</v>
      </c>
    </row>
    <row r="91" spans="1:1" x14ac:dyDescent="0.45">
      <c r="A91" s="2">
        <v>1.72</v>
      </c>
    </row>
    <row r="92" spans="1:1" x14ac:dyDescent="0.45">
      <c r="A92" s="2">
        <v>4.01</v>
      </c>
    </row>
    <row r="93" spans="1:1" x14ac:dyDescent="0.45">
      <c r="A93" s="2">
        <v>5.84</v>
      </c>
    </row>
    <row r="94" spans="1:1" x14ac:dyDescent="0.45">
      <c r="A94" s="2">
        <v>5.28</v>
      </c>
    </row>
    <row r="95" spans="1:1" x14ac:dyDescent="0.45">
      <c r="A95" s="2">
        <v>6.81</v>
      </c>
    </row>
    <row r="96" spans="1:1" x14ac:dyDescent="0.45">
      <c r="A96" s="2">
        <v>7.02</v>
      </c>
    </row>
    <row r="97" spans="1:1" x14ac:dyDescent="0.45">
      <c r="A97" s="2">
        <v>0.34</v>
      </c>
    </row>
    <row r="98" spans="1:1" x14ac:dyDescent="0.45">
      <c r="A98" s="2">
        <v>6.88</v>
      </c>
    </row>
    <row r="99" spans="1:1" x14ac:dyDescent="0.45">
      <c r="A99" s="2">
        <v>2.4300000000000002</v>
      </c>
    </row>
    <row r="100" spans="1:1" x14ac:dyDescent="0.45">
      <c r="A100" s="2">
        <v>1.93</v>
      </c>
    </row>
    <row r="101" spans="1:1" x14ac:dyDescent="0.45">
      <c r="A101" s="2">
        <v>0.32</v>
      </c>
    </row>
    <row r="102" spans="1:1" x14ac:dyDescent="0.45">
      <c r="A102" s="2">
        <v>0.78</v>
      </c>
    </row>
    <row r="103" spans="1:1" x14ac:dyDescent="0.45">
      <c r="A103" s="2">
        <v>1.28</v>
      </c>
    </row>
    <row r="104" spans="1:1" x14ac:dyDescent="0.45">
      <c r="A104" s="2">
        <v>7.99</v>
      </c>
    </row>
    <row r="105" spans="1:1" x14ac:dyDescent="0.45">
      <c r="A105" s="2">
        <v>4.71</v>
      </c>
    </row>
    <row r="106" spans="1:1" x14ac:dyDescent="0.45">
      <c r="A106" s="2">
        <v>5.44</v>
      </c>
    </row>
    <row r="107" spans="1:1" x14ac:dyDescent="0.45">
      <c r="A107" s="2">
        <v>2.17</v>
      </c>
    </row>
    <row r="108" spans="1:1" x14ac:dyDescent="0.45">
      <c r="A108" s="2">
        <v>0.62</v>
      </c>
    </row>
    <row r="109" spans="1:1" x14ac:dyDescent="0.45">
      <c r="A109" s="2">
        <v>1.1100000000000001</v>
      </c>
    </row>
    <row r="110" spans="1:1" x14ac:dyDescent="0.45">
      <c r="A110" s="2">
        <v>5.82</v>
      </c>
    </row>
    <row r="111" spans="1:1" x14ac:dyDescent="0.45">
      <c r="A111" s="2">
        <v>2.71</v>
      </c>
    </row>
    <row r="112" spans="1:1" x14ac:dyDescent="0.45">
      <c r="A112" s="2">
        <v>4.79</v>
      </c>
    </row>
    <row r="113" spans="1:1" x14ac:dyDescent="0.45">
      <c r="A113" s="2">
        <v>3.66</v>
      </c>
    </row>
    <row r="114" spans="1:1" x14ac:dyDescent="0.45">
      <c r="A114" s="2">
        <v>3.09</v>
      </c>
    </row>
    <row r="115" spans="1:1" x14ac:dyDescent="0.45">
      <c r="A115" s="2">
        <v>2.5099999999999998</v>
      </c>
    </row>
    <row r="116" spans="1:1" x14ac:dyDescent="0.45">
      <c r="A116" s="2">
        <v>1.72</v>
      </c>
    </row>
    <row r="117" spans="1:1" x14ac:dyDescent="0.45">
      <c r="A117" s="2">
        <v>3.81</v>
      </c>
    </row>
    <row r="118" spans="1:1" x14ac:dyDescent="0.45">
      <c r="A118" s="2">
        <v>2.73</v>
      </c>
    </row>
    <row r="119" spans="1:1" x14ac:dyDescent="0.45">
      <c r="A119" s="2">
        <v>7.09</v>
      </c>
    </row>
    <row r="120" spans="1:1" x14ac:dyDescent="0.45">
      <c r="A120" s="2">
        <v>6.44</v>
      </c>
    </row>
    <row r="121" spans="1:1" x14ac:dyDescent="0.45">
      <c r="A121" s="2">
        <v>2.2200000000000002</v>
      </c>
    </row>
    <row r="122" spans="1:1" x14ac:dyDescent="0.45">
      <c r="A122" s="2">
        <v>3.17</v>
      </c>
    </row>
    <row r="123" spans="1:1" x14ac:dyDescent="0.45">
      <c r="A123" s="2">
        <v>0.78</v>
      </c>
    </row>
    <row r="124" spans="1:1" x14ac:dyDescent="0.45">
      <c r="A124" s="2">
        <v>2.71</v>
      </c>
    </row>
    <row r="125" spans="1:1" x14ac:dyDescent="0.45">
      <c r="A125" s="2">
        <v>7.09</v>
      </c>
    </row>
    <row r="126" spans="1:1" x14ac:dyDescent="0.45">
      <c r="A126" s="2">
        <v>7.81</v>
      </c>
    </row>
    <row r="127" spans="1:1" x14ac:dyDescent="0.45">
      <c r="A127" s="2">
        <v>3.88</v>
      </c>
    </row>
    <row r="128" spans="1:1" x14ac:dyDescent="0.45">
      <c r="A128" s="2">
        <v>3.91</v>
      </c>
    </row>
    <row r="129" spans="1:1" x14ac:dyDescent="0.45">
      <c r="A129" s="2">
        <v>6.81</v>
      </c>
    </row>
    <row r="130" spans="1:1" x14ac:dyDescent="0.45">
      <c r="A130" s="2">
        <v>0.99</v>
      </c>
    </row>
    <row r="131" spans="1:1" x14ac:dyDescent="0.45">
      <c r="A131" s="2">
        <v>2.16</v>
      </c>
    </row>
    <row r="132" spans="1:1" x14ac:dyDescent="0.45">
      <c r="A132" s="2">
        <v>1.74</v>
      </c>
    </row>
    <row r="133" spans="1:1" x14ac:dyDescent="0.45">
      <c r="A133" s="2">
        <v>2.83</v>
      </c>
    </row>
    <row r="134" spans="1:1" x14ac:dyDescent="0.45">
      <c r="A134" s="2">
        <v>3.93</v>
      </c>
    </row>
    <row r="135" spans="1:1" x14ac:dyDescent="0.45">
      <c r="A135" s="2">
        <v>0.59</v>
      </c>
    </row>
    <row r="136" spans="1:1" x14ac:dyDescent="0.45">
      <c r="A136" s="2">
        <v>3.48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F7CE6-DA57-46E8-A0A7-FD2CFBF81233}">
  <dimension ref="A14:M164"/>
  <sheetViews>
    <sheetView topLeftCell="A38" zoomScale="166" workbookViewId="0">
      <selection activeCell="D58" sqref="D58"/>
    </sheetView>
  </sheetViews>
  <sheetFormatPr defaultRowHeight="14.25" x14ac:dyDescent="0.45"/>
  <sheetData>
    <row r="14" spans="1:3" x14ac:dyDescent="0.45">
      <c r="A14" s="1" t="s">
        <v>0</v>
      </c>
      <c r="C14" s="1" t="s">
        <v>133</v>
      </c>
    </row>
    <row r="15" spans="1:3" x14ac:dyDescent="0.45">
      <c r="A15">
        <v>1</v>
      </c>
      <c r="C15" t="s">
        <v>134</v>
      </c>
    </row>
    <row r="16" spans="1:3" x14ac:dyDescent="0.45">
      <c r="A16">
        <v>0</v>
      </c>
      <c r="C16" t="s">
        <v>135</v>
      </c>
    </row>
    <row r="17" spans="1:7" x14ac:dyDescent="0.45">
      <c r="A17">
        <v>0</v>
      </c>
    </row>
    <row r="18" spans="1:7" x14ac:dyDescent="0.45">
      <c r="A18">
        <v>2</v>
      </c>
      <c r="C18" s="1" t="s">
        <v>136</v>
      </c>
    </row>
    <row r="19" spans="1:7" x14ac:dyDescent="0.45">
      <c r="A19">
        <v>2</v>
      </c>
      <c r="C19" t="s">
        <v>14</v>
      </c>
      <c r="E19">
        <f>COUNT(A15:A164)</f>
        <v>150</v>
      </c>
    </row>
    <row r="20" spans="1:7" ht="14.65" thickBot="1" x14ac:dyDescent="0.5">
      <c r="A20">
        <v>3</v>
      </c>
    </row>
    <row r="21" spans="1:7" ht="14.65" thickBot="1" x14ac:dyDescent="0.5">
      <c r="A21">
        <v>0</v>
      </c>
      <c r="C21" s="94" t="s">
        <v>10</v>
      </c>
      <c r="D21" s="95"/>
      <c r="E21" s="95"/>
      <c r="F21" s="95"/>
      <c r="G21" s="96"/>
    </row>
    <row r="22" spans="1:7" x14ac:dyDescent="0.45">
      <c r="A22">
        <v>1</v>
      </c>
      <c r="C22" s="83" t="s">
        <v>11</v>
      </c>
      <c r="D22" s="83" t="s">
        <v>12</v>
      </c>
      <c r="E22" s="83" t="s">
        <v>13</v>
      </c>
      <c r="F22" s="83" t="s">
        <v>28</v>
      </c>
      <c r="G22" s="83" t="s">
        <v>29</v>
      </c>
    </row>
    <row r="23" spans="1:7" x14ac:dyDescent="0.45">
      <c r="A23">
        <v>1</v>
      </c>
      <c r="C23" s="84">
        <v>0</v>
      </c>
      <c r="D23" s="84">
        <f>COUNTIF($A$15:$A$164,C23)</f>
        <v>42</v>
      </c>
      <c r="E23" s="85">
        <f>D23/150</f>
        <v>0.28000000000000003</v>
      </c>
      <c r="F23" s="84">
        <f>D23</f>
        <v>42</v>
      </c>
      <c r="G23" s="86">
        <f>E23</f>
        <v>0.28000000000000003</v>
      </c>
    </row>
    <row r="24" spans="1:7" x14ac:dyDescent="0.45">
      <c r="A24">
        <v>0</v>
      </c>
      <c r="C24" s="84">
        <v>1</v>
      </c>
      <c r="D24" s="84">
        <f t="shared" ref="D24:D26" si="0">COUNTIF($A$15:$A$164,C24)</f>
        <v>54</v>
      </c>
      <c r="E24" s="85">
        <f t="shared" ref="E24:E26" si="1">D24/150</f>
        <v>0.36</v>
      </c>
      <c r="F24" s="84">
        <f>F23+D24</f>
        <v>96</v>
      </c>
      <c r="G24" s="86">
        <f>G23+E24</f>
        <v>0.64</v>
      </c>
    </row>
    <row r="25" spans="1:7" x14ac:dyDescent="0.45">
      <c r="A25">
        <v>0</v>
      </c>
      <c r="C25" s="84">
        <v>2</v>
      </c>
      <c r="D25" s="84">
        <f t="shared" si="0"/>
        <v>36</v>
      </c>
      <c r="E25" s="85">
        <f t="shared" si="1"/>
        <v>0.24</v>
      </c>
      <c r="F25" s="84">
        <f t="shared" ref="F25:F26" si="2">F24+D25</f>
        <v>132</v>
      </c>
      <c r="G25" s="86">
        <f t="shared" ref="G25:G26" si="3">G24+E25</f>
        <v>0.88</v>
      </c>
    </row>
    <row r="26" spans="1:7" x14ac:dyDescent="0.45">
      <c r="A26">
        <v>2</v>
      </c>
      <c r="C26" s="84">
        <v>3</v>
      </c>
      <c r="D26" s="84">
        <f t="shared" si="0"/>
        <v>18</v>
      </c>
      <c r="E26" s="85">
        <f t="shared" si="1"/>
        <v>0.12</v>
      </c>
      <c r="F26" s="84">
        <f t="shared" si="2"/>
        <v>150</v>
      </c>
      <c r="G26" s="86">
        <f t="shared" si="3"/>
        <v>1</v>
      </c>
    </row>
    <row r="27" spans="1:7" x14ac:dyDescent="0.45">
      <c r="A27">
        <v>2</v>
      </c>
      <c r="C27" t="s">
        <v>16</v>
      </c>
      <c r="D27">
        <f>SUM(D23:D26)</f>
        <v>150</v>
      </c>
      <c r="E27" s="6">
        <f>SUM(E23:E26)</f>
        <v>1</v>
      </c>
    </row>
    <row r="28" spans="1:7" x14ac:dyDescent="0.45">
      <c r="A28">
        <v>3</v>
      </c>
    </row>
    <row r="29" spans="1:7" x14ac:dyDescent="0.45">
      <c r="A29">
        <v>1</v>
      </c>
      <c r="C29" s="1" t="s">
        <v>137</v>
      </c>
    </row>
    <row r="30" spans="1:7" x14ac:dyDescent="0.45">
      <c r="A30">
        <v>0</v>
      </c>
    </row>
    <row r="31" spans="1:7" x14ac:dyDescent="0.45">
      <c r="A31">
        <v>1</v>
      </c>
    </row>
    <row r="32" spans="1:7" x14ac:dyDescent="0.45">
      <c r="A32">
        <v>2</v>
      </c>
    </row>
    <row r="33" spans="1:13" x14ac:dyDescent="0.45">
      <c r="A33">
        <v>3</v>
      </c>
    </row>
    <row r="34" spans="1:13" x14ac:dyDescent="0.45">
      <c r="A34">
        <v>2</v>
      </c>
    </row>
    <row r="35" spans="1:13" x14ac:dyDescent="0.45">
      <c r="A35">
        <v>2</v>
      </c>
    </row>
    <row r="36" spans="1:13" x14ac:dyDescent="0.45">
      <c r="A36">
        <v>1</v>
      </c>
    </row>
    <row r="37" spans="1:13" x14ac:dyDescent="0.45">
      <c r="A37">
        <v>1</v>
      </c>
    </row>
    <row r="38" spans="1:13" x14ac:dyDescent="0.45">
      <c r="A38">
        <v>0</v>
      </c>
    </row>
    <row r="39" spans="1:13" x14ac:dyDescent="0.45">
      <c r="A39">
        <v>0</v>
      </c>
    </row>
    <row r="40" spans="1:13" x14ac:dyDescent="0.45">
      <c r="A40">
        <v>0</v>
      </c>
    </row>
    <row r="41" spans="1:13" x14ac:dyDescent="0.45">
      <c r="A41">
        <v>1</v>
      </c>
    </row>
    <row r="42" spans="1:13" x14ac:dyDescent="0.45">
      <c r="A42">
        <v>1</v>
      </c>
    </row>
    <row r="43" spans="1:13" x14ac:dyDescent="0.45">
      <c r="A43">
        <v>3</v>
      </c>
    </row>
    <row r="44" spans="1:13" x14ac:dyDescent="0.45">
      <c r="A44">
        <v>1</v>
      </c>
    </row>
    <row r="45" spans="1:13" ht="14.65" thickBot="1" x14ac:dyDescent="0.5">
      <c r="A45">
        <v>3</v>
      </c>
      <c r="C45" s="1" t="s">
        <v>138</v>
      </c>
    </row>
    <row r="46" spans="1:13" ht="15.75" x14ac:dyDescent="0.45">
      <c r="A46">
        <v>2</v>
      </c>
      <c r="C46" s="36" t="s">
        <v>139</v>
      </c>
      <c r="L46" s="35" t="s">
        <v>48</v>
      </c>
      <c r="M46" s="35"/>
    </row>
    <row r="47" spans="1:13" x14ac:dyDescent="0.45">
      <c r="A47">
        <v>2</v>
      </c>
      <c r="C47" t="s">
        <v>144</v>
      </c>
    </row>
    <row r="48" spans="1:13" x14ac:dyDescent="0.45">
      <c r="A48">
        <v>3</v>
      </c>
      <c r="C48" t="s">
        <v>140</v>
      </c>
      <c r="L48" t="s">
        <v>49</v>
      </c>
      <c r="M48">
        <v>1.2</v>
      </c>
    </row>
    <row r="49" spans="1:13" x14ac:dyDescent="0.45">
      <c r="A49">
        <v>1</v>
      </c>
      <c r="C49" t="s">
        <v>141</v>
      </c>
      <c r="L49" t="s">
        <v>50</v>
      </c>
      <c r="M49">
        <v>8.0268007450878143E-2</v>
      </c>
    </row>
    <row r="50" spans="1:13" ht="15.75" x14ac:dyDescent="0.45">
      <c r="A50">
        <v>1</v>
      </c>
      <c r="C50" s="36" t="s">
        <v>142</v>
      </c>
      <c r="L50" t="s">
        <v>51</v>
      </c>
      <c r="M50">
        <v>1</v>
      </c>
    </row>
    <row r="51" spans="1:13" ht="15.75" x14ac:dyDescent="0.45">
      <c r="A51">
        <v>1</v>
      </c>
      <c r="C51" s="36" t="s">
        <v>143</v>
      </c>
      <c r="L51" t="s">
        <v>52</v>
      </c>
      <c r="M51">
        <v>1</v>
      </c>
    </row>
    <row r="52" spans="1:13" x14ac:dyDescent="0.45">
      <c r="A52">
        <v>1</v>
      </c>
      <c r="L52" t="s">
        <v>53</v>
      </c>
      <c r="M52">
        <v>0.98307830462284862</v>
      </c>
    </row>
    <row r="53" spans="1:13" x14ac:dyDescent="0.45">
      <c r="A53">
        <v>2</v>
      </c>
      <c r="L53" t="s">
        <v>54</v>
      </c>
      <c r="M53">
        <v>0.96644295302013428</v>
      </c>
    </row>
    <row r="54" spans="1:13" x14ac:dyDescent="0.45">
      <c r="A54">
        <v>2</v>
      </c>
      <c r="L54" t="s">
        <v>55</v>
      </c>
      <c r="M54">
        <v>-0.88533527149598257</v>
      </c>
    </row>
    <row r="55" spans="1:13" x14ac:dyDescent="0.45">
      <c r="A55">
        <v>3</v>
      </c>
      <c r="L55" t="s">
        <v>56</v>
      </c>
      <c r="M55">
        <v>0.36083568120834519</v>
      </c>
    </row>
    <row r="56" spans="1:13" x14ac:dyDescent="0.45">
      <c r="A56">
        <v>1</v>
      </c>
      <c r="L56" t="s">
        <v>57</v>
      </c>
      <c r="M56">
        <v>3</v>
      </c>
    </row>
    <row r="57" spans="1:13" x14ac:dyDescent="0.45">
      <c r="A57">
        <v>3</v>
      </c>
      <c r="L57" t="s">
        <v>58</v>
      </c>
      <c r="M57">
        <v>0</v>
      </c>
    </row>
    <row r="58" spans="1:13" x14ac:dyDescent="0.45">
      <c r="A58">
        <v>3</v>
      </c>
      <c r="L58" t="s">
        <v>59</v>
      </c>
      <c r="M58">
        <v>3</v>
      </c>
    </row>
    <row r="59" spans="1:13" x14ac:dyDescent="0.45">
      <c r="A59">
        <v>0</v>
      </c>
      <c r="L59" t="s">
        <v>60</v>
      </c>
      <c r="M59">
        <v>180</v>
      </c>
    </row>
    <row r="60" spans="1:13" ht="14.65" thickBot="1" x14ac:dyDescent="0.5">
      <c r="A60">
        <v>0</v>
      </c>
      <c r="L60" s="34" t="s">
        <v>61</v>
      </c>
      <c r="M60" s="34">
        <v>150</v>
      </c>
    </row>
    <row r="61" spans="1:13" x14ac:dyDescent="0.45">
      <c r="A61">
        <v>0</v>
      </c>
    </row>
    <row r="62" spans="1:13" x14ac:dyDescent="0.45">
      <c r="A62">
        <v>1</v>
      </c>
    </row>
    <row r="63" spans="1:13" x14ac:dyDescent="0.45">
      <c r="A63">
        <v>1</v>
      </c>
    </row>
    <row r="64" spans="1:13" x14ac:dyDescent="0.45">
      <c r="A64">
        <v>2</v>
      </c>
    </row>
    <row r="65" spans="1:1" x14ac:dyDescent="0.45">
      <c r="A65">
        <v>0</v>
      </c>
    </row>
    <row r="66" spans="1:1" x14ac:dyDescent="0.45">
      <c r="A66">
        <v>1</v>
      </c>
    </row>
    <row r="67" spans="1:1" x14ac:dyDescent="0.45">
      <c r="A67">
        <v>2</v>
      </c>
    </row>
    <row r="68" spans="1:1" x14ac:dyDescent="0.45">
      <c r="A68">
        <v>0</v>
      </c>
    </row>
    <row r="69" spans="1:1" x14ac:dyDescent="0.45">
      <c r="A69">
        <v>0</v>
      </c>
    </row>
    <row r="70" spans="1:1" x14ac:dyDescent="0.45">
      <c r="A70">
        <v>1</v>
      </c>
    </row>
    <row r="71" spans="1:1" x14ac:dyDescent="0.45">
      <c r="A71">
        <v>1</v>
      </c>
    </row>
    <row r="72" spans="1:1" x14ac:dyDescent="0.45">
      <c r="A72">
        <v>1</v>
      </c>
    </row>
    <row r="73" spans="1:1" x14ac:dyDescent="0.45">
      <c r="A73">
        <v>3</v>
      </c>
    </row>
    <row r="74" spans="1:1" x14ac:dyDescent="0.45">
      <c r="A74">
        <v>2</v>
      </c>
    </row>
    <row r="75" spans="1:1" x14ac:dyDescent="0.45">
      <c r="A75">
        <v>3</v>
      </c>
    </row>
    <row r="76" spans="1:1" x14ac:dyDescent="0.45">
      <c r="A76">
        <v>2</v>
      </c>
    </row>
    <row r="77" spans="1:1" x14ac:dyDescent="0.45">
      <c r="A77">
        <v>1</v>
      </c>
    </row>
    <row r="78" spans="1:1" x14ac:dyDescent="0.45">
      <c r="A78">
        <v>1</v>
      </c>
    </row>
    <row r="79" spans="1:1" x14ac:dyDescent="0.45">
      <c r="A79">
        <v>0</v>
      </c>
    </row>
    <row r="80" spans="1:1" x14ac:dyDescent="0.45">
      <c r="A80">
        <v>0</v>
      </c>
    </row>
    <row r="81" spans="1:1" x14ac:dyDescent="0.45">
      <c r="A81">
        <v>2</v>
      </c>
    </row>
    <row r="82" spans="1:1" x14ac:dyDescent="0.45">
      <c r="A82">
        <v>2</v>
      </c>
    </row>
    <row r="83" spans="1:1" x14ac:dyDescent="0.45">
      <c r="A83">
        <v>3</v>
      </c>
    </row>
    <row r="84" spans="1:1" x14ac:dyDescent="0.45">
      <c r="A84">
        <v>3</v>
      </c>
    </row>
    <row r="85" spans="1:1" x14ac:dyDescent="0.45">
      <c r="A85">
        <v>1</v>
      </c>
    </row>
    <row r="86" spans="1:1" x14ac:dyDescent="0.45">
      <c r="A86">
        <v>1</v>
      </c>
    </row>
    <row r="87" spans="1:1" x14ac:dyDescent="0.45">
      <c r="A87">
        <v>0</v>
      </c>
    </row>
    <row r="88" spans="1:1" x14ac:dyDescent="0.45">
      <c r="A88">
        <v>0</v>
      </c>
    </row>
    <row r="89" spans="1:1" x14ac:dyDescent="0.45">
      <c r="A89">
        <v>0</v>
      </c>
    </row>
    <row r="90" spans="1:1" x14ac:dyDescent="0.45">
      <c r="A90">
        <v>0</v>
      </c>
    </row>
    <row r="91" spans="1:1" x14ac:dyDescent="0.45">
      <c r="A91">
        <v>0</v>
      </c>
    </row>
    <row r="92" spans="1:1" x14ac:dyDescent="0.45">
      <c r="A92">
        <v>1</v>
      </c>
    </row>
    <row r="93" spans="1:1" x14ac:dyDescent="0.45">
      <c r="A93">
        <v>0</v>
      </c>
    </row>
    <row r="94" spans="1:1" x14ac:dyDescent="0.45">
      <c r="A94">
        <v>1</v>
      </c>
    </row>
    <row r="95" spans="1:1" x14ac:dyDescent="0.45">
      <c r="A95">
        <v>1</v>
      </c>
    </row>
    <row r="96" spans="1:1" x14ac:dyDescent="0.45">
      <c r="A96">
        <v>0</v>
      </c>
    </row>
    <row r="97" spans="1:1" x14ac:dyDescent="0.45">
      <c r="A97">
        <v>0</v>
      </c>
    </row>
    <row r="98" spans="1:1" x14ac:dyDescent="0.45">
      <c r="A98">
        <v>0</v>
      </c>
    </row>
    <row r="99" spans="1:1" x14ac:dyDescent="0.45">
      <c r="A99">
        <v>2</v>
      </c>
    </row>
    <row r="100" spans="1:1" x14ac:dyDescent="0.45">
      <c r="A100">
        <v>0</v>
      </c>
    </row>
    <row r="101" spans="1:1" x14ac:dyDescent="0.45">
      <c r="A101">
        <v>0</v>
      </c>
    </row>
    <row r="102" spans="1:1" x14ac:dyDescent="0.45">
      <c r="A102">
        <v>3</v>
      </c>
    </row>
    <row r="103" spans="1:1" x14ac:dyDescent="0.45">
      <c r="A103">
        <v>0</v>
      </c>
    </row>
    <row r="104" spans="1:1" x14ac:dyDescent="0.45">
      <c r="A104">
        <v>0</v>
      </c>
    </row>
    <row r="105" spans="1:1" x14ac:dyDescent="0.45">
      <c r="A105">
        <v>0</v>
      </c>
    </row>
    <row r="106" spans="1:1" x14ac:dyDescent="0.45">
      <c r="A106">
        <v>1</v>
      </c>
    </row>
    <row r="107" spans="1:1" x14ac:dyDescent="0.45">
      <c r="A107">
        <v>1</v>
      </c>
    </row>
    <row r="108" spans="1:1" x14ac:dyDescent="0.45">
      <c r="A108">
        <v>3</v>
      </c>
    </row>
    <row r="109" spans="1:1" x14ac:dyDescent="0.45">
      <c r="A109">
        <v>1</v>
      </c>
    </row>
    <row r="110" spans="1:1" x14ac:dyDescent="0.45">
      <c r="A110">
        <v>1</v>
      </c>
    </row>
    <row r="111" spans="1:1" x14ac:dyDescent="0.45">
      <c r="A111">
        <v>0</v>
      </c>
    </row>
    <row r="112" spans="1:1" x14ac:dyDescent="0.45">
      <c r="A112">
        <v>0</v>
      </c>
    </row>
    <row r="113" spans="1:1" x14ac:dyDescent="0.45">
      <c r="A113">
        <v>0</v>
      </c>
    </row>
    <row r="114" spans="1:1" x14ac:dyDescent="0.45">
      <c r="A114">
        <v>1</v>
      </c>
    </row>
    <row r="115" spans="1:1" x14ac:dyDescent="0.45">
      <c r="A115">
        <v>1</v>
      </c>
    </row>
    <row r="116" spans="1:1" x14ac:dyDescent="0.45">
      <c r="A116">
        <v>1</v>
      </c>
    </row>
    <row r="117" spans="1:1" x14ac:dyDescent="0.45">
      <c r="A117">
        <v>1</v>
      </c>
    </row>
    <row r="118" spans="1:1" x14ac:dyDescent="0.45">
      <c r="A118">
        <v>3</v>
      </c>
    </row>
    <row r="119" spans="1:1" x14ac:dyDescent="0.45">
      <c r="A119">
        <v>2</v>
      </c>
    </row>
    <row r="120" spans="1:1" x14ac:dyDescent="0.45">
      <c r="A120">
        <v>1</v>
      </c>
    </row>
    <row r="121" spans="1:1" x14ac:dyDescent="0.45">
      <c r="A121">
        <v>1</v>
      </c>
    </row>
    <row r="122" spans="1:1" x14ac:dyDescent="0.45">
      <c r="A122">
        <v>0</v>
      </c>
    </row>
    <row r="123" spans="1:1" x14ac:dyDescent="0.45">
      <c r="A123">
        <v>1</v>
      </c>
    </row>
    <row r="124" spans="1:1" x14ac:dyDescent="0.45">
      <c r="A124">
        <v>2</v>
      </c>
    </row>
    <row r="125" spans="1:1" x14ac:dyDescent="0.45">
      <c r="A125">
        <v>2</v>
      </c>
    </row>
    <row r="126" spans="1:1" x14ac:dyDescent="0.45">
      <c r="A126">
        <v>0</v>
      </c>
    </row>
    <row r="127" spans="1:1" x14ac:dyDescent="0.45">
      <c r="A127">
        <v>1</v>
      </c>
    </row>
    <row r="128" spans="1:1" x14ac:dyDescent="0.45">
      <c r="A128">
        <v>2</v>
      </c>
    </row>
    <row r="129" spans="1:1" x14ac:dyDescent="0.45">
      <c r="A129">
        <v>0</v>
      </c>
    </row>
    <row r="130" spans="1:1" x14ac:dyDescent="0.45">
      <c r="A130">
        <v>0</v>
      </c>
    </row>
    <row r="131" spans="1:1" x14ac:dyDescent="0.45">
      <c r="A131">
        <v>2</v>
      </c>
    </row>
    <row r="132" spans="1:1" x14ac:dyDescent="0.45">
      <c r="A132">
        <v>2</v>
      </c>
    </row>
    <row r="133" spans="1:1" x14ac:dyDescent="0.45">
      <c r="A133">
        <v>2</v>
      </c>
    </row>
    <row r="134" spans="1:1" x14ac:dyDescent="0.45">
      <c r="A134">
        <v>1</v>
      </c>
    </row>
    <row r="135" spans="1:1" x14ac:dyDescent="0.45">
      <c r="A135">
        <v>1</v>
      </c>
    </row>
    <row r="136" spans="1:1" x14ac:dyDescent="0.45">
      <c r="A136">
        <v>0</v>
      </c>
    </row>
    <row r="137" spans="1:1" x14ac:dyDescent="0.45">
      <c r="A137">
        <v>0</v>
      </c>
    </row>
    <row r="138" spans="1:1" x14ac:dyDescent="0.45">
      <c r="A138">
        <v>1</v>
      </c>
    </row>
    <row r="139" spans="1:1" x14ac:dyDescent="0.45">
      <c r="A139">
        <v>1</v>
      </c>
    </row>
    <row r="140" spans="1:1" x14ac:dyDescent="0.45">
      <c r="A140">
        <v>0</v>
      </c>
    </row>
    <row r="141" spans="1:1" x14ac:dyDescent="0.45">
      <c r="A141">
        <v>2</v>
      </c>
    </row>
    <row r="142" spans="1:1" x14ac:dyDescent="0.45">
      <c r="A142">
        <v>2</v>
      </c>
    </row>
    <row r="143" spans="1:1" x14ac:dyDescent="0.45">
      <c r="A143">
        <v>2</v>
      </c>
    </row>
    <row r="144" spans="1:1" x14ac:dyDescent="0.45">
      <c r="A144">
        <v>1</v>
      </c>
    </row>
    <row r="145" spans="1:1" x14ac:dyDescent="0.45">
      <c r="A145">
        <v>1</v>
      </c>
    </row>
    <row r="146" spans="1:1" x14ac:dyDescent="0.45">
      <c r="A146">
        <v>0</v>
      </c>
    </row>
    <row r="147" spans="1:1" x14ac:dyDescent="0.45">
      <c r="A147">
        <v>2</v>
      </c>
    </row>
    <row r="148" spans="1:1" x14ac:dyDescent="0.45">
      <c r="A148">
        <v>2</v>
      </c>
    </row>
    <row r="149" spans="1:1" x14ac:dyDescent="0.45">
      <c r="A149">
        <v>2</v>
      </c>
    </row>
    <row r="150" spans="1:1" x14ac:dyDescent="0.45">
      <c r="A150">
        <v>2</v>
      </c>
    </row>
    <row r="151" spans="1:1" x14ac:dyDescent="0.45">
      <c r="A151">
        <v>1</v>
      </c>
    </row>
    <row r="152" spans="1:1" x14ac:dyDescent="0.45">
      <c r="A152">
        <v>3</v>
      </c>
    </row>
    <row r="153" spans="1:1" x14ac:dyDescent="0.45">
      <c r="A153">
        <v>2</v>
      </c>
    </row>
    <row r="154" spans="1:1" x14ac:dyDescent="0.45">
      <c r="A154">
        <v>2</v>
      </c>
    </row>
    <row r="155" spans="1:1" x14ac:dyDescent="0.45">
      <c r="A155">
        <v>1</v>
      </c>
    </row>
    <row r="156" spans="1:1" x14ac:dyDescent="0.45">
      <c r="A156">
        <v>1</v>
      </c>
    </row>
    <row r="157" spans="1:1" x14ac:dyDescent="0.45">
      <c r="A157">
        <v>2</v>
      </c>
    </row>
    <row r="158" spans="1:1" x14ac:dyDescent="0.45">
      <c r="A158">
        <v>2</v>
      </c>
    </row>
    <row r="159" spans="1:1" x14ac:dyDescent="0.45">
      <c r="A159">
        <v>3</v>
      </c>
    </row>
    <row r="160" spans="1:1" x14ac:dyDescent="0.45">
      <c r="A160">
        <v>1</v>
      </c>
    </row>
    <row r="161" spans="1:1" x14ac:dyDescent="0.45">
      <c r="A161">
        <v>1</v>
      </c>
    </row>
    <row r="162" spans="1:1" x14ac:dyDescent="0.45">
      <c r="A162">
        <v>1</v>
      </c>
    </row>
    <row r="163" spans="1:1" x14ac:dyDescent="0.45">
      <c r="A163">
        <v>1</v>
      </c>
    </row>
    <row r="164" spans="1:1" x14ac:dyDescent="0.45">
      <c r="A164">
        <v>1</v>
      </c>
    </row>
  </sheetData>
  <mergeCells count="1">
    <mergeCell ref="C21:G21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E707-5CCA-4658-8BCF-D7514A4986A9}">
  <dimension ref="A14:L134"/>
  <sheetViews>
    <sheetView topLeftCell="A38" zoomScaleNormal="100" workbookViewId="0">
      <selection activeCell="H57" sqref="H57"/>
    </sheetView>
  </sheetViews>
  <sheetFormatPr defaultRowHeight="14.25" x14ac:dyDescent="0.45"/>
  <cols>
    <col min="4" max="4" width="10.86328125" customWidth="1"/>
  </cols>
  <sheetData>
    <row r="14" spans="1:3" x14ac:dyDescent="0.45">
      <c r="A14" s="1" t="s">
        <v>0</v>
      </c>
      <c r="C14" t="s">
        <v>113</v>
      </c>
    </row>
    <row r="15" spans="1:3" x14ac:dyDescent="0.45">
      <c r="A15" s="12">
        <v>1.88</v>
      </c>
      <c r="C15" t="s">
        <v>103</v>
      </c>
    </row>
    <row r="16" spans="1:3" x14ac:dyDescent="0.45">
      <c r="A16" s="12">
        <v>1.8</v>
      </c>
    </row>
    <row r="17" spans="1:10" x14ac:dyDescent="0.45">
      <c r="A17" s="12">
        <v>1.66</v>
      </c>
      <c r="C17" t="s">
        <v>14</v>
      </c>
      <c r="E17">
        <f>COUNT(A15:A134)</f>
        <v>120</v>
      </c>
    </row>
    <row r="18" spans="1:10" x14ac:dyDescent="0.45">
      <c r="A18" s="12">
        <v>1.84</v>
      </c>
      <c r="C18" t="s">
        <v>106</v>
      </c>
      <c r="E18">
        <f>INT(LOG(120,2))+1</f>
        <v>7</v>
      </c>
    </row>
    <row r="19" spans="1:10" x14ac:dyDescent="0.45">
      <c r="A19" s="12">
        <v>1.79</v>
      </c>
    </row>
    <row r="20" spans="1:10" x14ac:dyDescent="0.45">
      <c r="A20" s="12">
        <v>1.7</v>
      </c>
      <c r="C20" t="s">
        <v>59</v>
      </c>
      <c r="D20" s="12">
        <f>MAX(A15:A134)</f>
        <v>1.99</v>
      </c>
    </row>
    <row r="21" spans="1:10" x14ac:dyDescent="0.45">
      <c r="A21" s="12">
        <v>1.8</v>
      </c>
      <c r="C21" t="s">
        <v>58</v>
      </c>
      <c r="D21" s="12">
        <f>MIN(A15:A134)</f>
        <v>1.66</v>
      </c>
    </row>
    <row r="22" spans="1:10" x14ac:dyDescent="0.45">
      <c r="A22" s="12">
        <v>1.87</v>
      </c>
    </row>
    <row r="23" spans="1:10" x14ac:dyDescent="0.45">
      <c r="A23" s="12">
        <v>1.7</v>
      </c>
      <c r="C23" t="s">
        <v>114</v>
      </c>
      <c r="E23">
        <f>(D20-D21)/7</f>
        <v>4.7142857142857153E-2</v>
      </c>
    </row>
    <row r="24" spans="1:10" x14ac:dyDescent="0.45">
      <c r="A24" s="12">
        <v>1.75</v>
      </c>
      <c r="E24" s="52">
        <v>0.05</v>
      </c>
    </row>
    <row r="25" spans="1:10" x14ac:dyDescent="0.45">
      <c r="A25" s="12">
        <v>1.73</v>
      </c>
    </row>
    <row r="26" spans="1:10" x14ac:dyDescent="0.45">
      <c r="A26" s="12">
        <v>1.87</v>
      </c>
      <c r="C26" t="s">
        <v>78</v>
      </c>
      <c r="F26" t="s">
        <v>37</v>
      </c>
    </row>
    <row r="27" spans="1:10" x14ac:dyDescent="0.45">
      <c r="A27" s="12">
        <v>1.76</v>
      </c>
      <c r="C27" s="12">
        <v>1.65</v>
      </c>
      <c r="F27" s="39" t="s">
        <v>79</v>
      </c>
      <c r="G27" s="39" t="s">
        <v>12</v>
      </c>
      <c r="H27" s="39" t="s">
        <v>13</v>
      </c>
      <c r="I27" s="39" t="s">
        <v>28</v>
      </c>
      <c r="J27" s="39" t="s">
        <v>29</v>
      </c>
    </row>
    <row r="28" spans="1:10" x14ac:dyDescent="0.45">
      <c r="A28" s="12">
        <v>1.68</v>
      </c>
      <c r="C28" s="12">
        <f>C27+0.05</f>
        <v>1.7</v>
      </c>
      <c r="F28" t="str">
        <f>CONCATENATE("]",C27,";",C28,"]")</f>
        <v>]1,65;1,7]</v>
      </c>
      <c r="G28">
        <f t="array" ref="G28:G34">FREQUENCY(A15:A134,C28:C34)</f>
        <v>7</v>
      </c>
      <c r="H28" s="37">
        <f>G28/120</f>
        <v>5.8333333333333334E-2</v>
      </c>
      <c r="I28">
        <f>G28</f>
        <v>7</v>
      </c>
      <c r="J28" s="38">
        <f>H28</f>
        <v>5.8333333333333334E-2</v>
      </c>
    </row>
    <row r="29" spans="1:10" x14ac:dyDescent="0.45">
      <c r="A29" s="12">
        <v>1.95</v>
      </c>
      <c r="C29" s="12">
        <f t="shared" ref="C29:C34" si="0">C28+0.05</f>
        <v>1.75</v>
      </c>
      <c r="F29" t="str">
        <f t="shared" ref="F29:F34" si="1">CONCATENATE("]",C28,";",C29,"]")</f>
        <v>]1,7;1,75]</v>
      </c>
      <c r="G29">
        <v>13</v>
      </c>
      <c r="H29" s="37">
        <f t="shared" ref="H29:H34" si="2">G29/120</f>
        <v>0.10833333333333334</v>
      </c>
      <c r="I29">
        <f>I28+G29</f>
        <v>20</v>
      </c>
      <c r="J29" s="38">
        <f>J28+H29</f>
        <v>0.16666666666666669</v>
      </c>
    </row>
    <row r="30" spans="1:10" x14ac:dyDescent="0.45">
      <c r="A30" s="12">
        <v>1.78</v>
      </c>
      <c r="C30" s="12">
        <f t="shared" si="0"/>
        <v>1.8</v>
      </c>
      <c r="F30" t="str">
        <f t="shared" si="1"/>
        <v>]1,75;1,8]</v>
      </c>
      <c r="G30">
        <v>35</v>
      </c>
      <c r="H30" s="37">
        <f t="shared" si="2"/>
        <v>0.29166666666666669</v>
      </c>
      <c r="I30">
        <f t="shared" ref="I30:I34" si="3">I29+G30</f>
        <v>55</v>
      </c>
      <c r="J30" s="38">
        <f t="shared" ref="J30:J34" si="4">J29+H30</f>
        <v>0.45833333333333337</v>
      </c>
    </row>
    <row r="31" spans="1:10" x14ac:dyDescent="0.45">
      <c r="A31" s="12">
        <v>1.75</v>
      </c>
      <c r="C31" s="12">
        <f t="shared" si="0"/>
        <v>1.85</v>
      </c>
      <c r="F31" t="str">
        <f t="shared" si="1"/>
        <v>]1,8;1,85]</v>
      </c>
      <c r="G31">
        <v>30</v>
      </c>
      <c r="H31" s="37">
        <f t="shared" si="2"/>
        <v>0.25</v>
      </c>
      <c r="I31">
        <f t="shared" si="3"/>
        <v>85</v>
      </c>
      <c r="J31" s="38">
        <f t="shared" si="4"/>
        <v>0.70833333333333337</v>
      </c>
    </row>
    <row r="32" spans="1:10" x14ac:dyDescent="0.45">
      <c r="A32" s="12">
        <v>1.89</v>
      </c>
      <c r="C32" s="12">
        <f t="shared" si="0"/>
        <v>1.9000000000000001</v>
      </c>
      <c r="F32" t="str">
        <f t="shared" si="1"/>
        <v>]1,85;1,9]</v>
      </c>
      <c r="G32">
        <v>25</v>
      </c>
      <c r="H32" s="37">
        <f t="shared" si="2"/>
        <v>0.20833333333333334</v>
      </c>
      <c r="I32">
        <f t="shared" si="3"/>
        <v>110</v>
      </c>
      <c r="J32" s="38">
        <f t="shared" si="4"/>
        <v>0.91666666666666674</v>
      </c>
    </row>
    <row r="33" spans="1:10" x14ac:dyDescent="0.45">
      <c r="A33" s="12">
        <v>1.75</v>
      </c>
      <c r="C33" s="12">
        <f t="shared" si="0"/>
        <v>1.9500000000000002</v>
      </c>
      <c r="F33" t="str">
        <f t="shared" si="1"/>
        <v>]1,9;1,95]</v>
      </c>
      <c r="G33">
        <v>8</v>
      </c>
      <c r="H33" s="37">
        <f t="shared" si="2"/>
        <v>6.6666666666666666E-2</v>
      </c>
      <c r="I33">
        <f t="shared" si="3"/>
        <v>118</v>
      </c>
      <c r="J33" s="38">
        <f t="shared" si="4"/>
        <v>0.98333333333333339</v>
      </c>
    </row>
    <row r="34" spans="1:10" x14ac:dyDescent="0.45">
      <c r="A34" s="12">
        <v>1.9</v>
      </c>
      <c r="C34" s="12">
        <f t="shared" si="0"/>
        <v>2</v>
      </c>
      <c r="F34" t="str">
        <f t="shared" si="1"/>
        <v>]1,95;2]</v>
      </c>
      <c r="G34">
        <v>2</v>
      </c>
      <c r="H34" s="37">
        <f t="shared" si="2"/>
        <v>1.6666666666666666E-2</v>
      </c>
      <c r="I34">
        <f t="shared" si="3"/>
        <v>120</v>
      </c>
      <c r="J34" s="38">
        <f t="shared" si="4"/>
        <v>1</v>
      </c>
    </row>
    <row r="35" spans="1:10" x14ac:dyDescent="0.45">
      <c r="A35" s="12">
        <v>1.82</v>
      </c>
    </row>
    <row r="36" spans="1:10" x14ac:dyDescent="0.45">
      <c r="A36" s="12">
        <v>1.8</v>
      </c>
      <c r="C36" s="1" t="s">
        <v>115</v>
      </c>
    </row>
    <row r="37" spans="1:10" x14ac:dyDescent="0.45">
      <c r="A37" s="12">
        <v>1.88</v>
      </c>
    </row>
    <row r="38" spans="1:10" x14ac:dyDescent="0.45">
      <c r="A38" s="12">
        <v>1.87</v>
      </c>
    </row>
    <row r="39" spans="1:10" x14ac:dyDescent="0.45">
      <c r="A39" s="12">
        <v>1.76</v>
      </c>
    </row>
    <row r="40" spans="1:10" x14ac:dyDescent="0.45">
      <c r="A40" s="12">
        <v>1.88</v>
      </c>
    </row>
    <row r="41" spans="1:10" x14ac:dyDescent="0.45">
      <c r="A41" s="12">
        <v>1.83</v>
      </c>
    </row>
    <row r="42" spans="1:10" x14ac:dyDescent="0.45">
      <c r="A42" s="12">
        <v>1.92</v>
      </c>
    </row>
    <row r="43" spans="1:10" x14ac:dyDescent="0.45">
      <c r="A43" s="12">
        <v>1.82</v>
      </c>
    </row>
    <row r="44" spans="1:10" x14ac:dyDescent="0.45">
      <c r="A44" s="12">
        <v>1.9</v>
      </c>
    </row>
    <row r="45" spans="1:10" x14ac:dyDescent="0.45">
      <c r="A45" s="12">
        <v>1.76</v>
      </c>
    </row>
    <row r="46" spans="1:10" x14ac:dyDescent="0.45">
      <c r="A46" s="12">
        <v>1.83</v>
      </c>
    </row>
    <row r="47" spans="1:10" x14ac:dyDescent="0.45">
      <c r="A47" s="12">
        <v>1.85</v>
      </c>
    </row>
    <row r="48" spans="1:10" x14ac:dyDescent="0.45">
      <c r="A48" s="12">
        <v>1.78</v>
      </c>
    </row>
    <row r="49" spans="1:12" x14ac:dyDescent="0.45">
      <c r="A49" s="12">
        <v>1.75</v>
      </c>
    </row>
    <row r="50" spans="1:12" x14ac:dyDescent="0.45">
      <c r="A50" s="12">
        <v>1.85</v>
      </c>
    </row>
    <row r="51" spans="1:12" x14ac:dyDescent="0.45">
      <c r="A51" s="12">
        <v>1.98</v>
      </c>
    </row>
    <row r="52" spans="1:12" x14ac:dyDescent="0.45">
      <c r="A52" s="12">
        <v>1.81</v>
      </c>
      <c r="C52" s="1" t="s">
        <v>116</v>
      </c>
    </row>
    <row r="53" spans="1:12" ht="15.75" x14ac:dyDescent="0.45">
      <c r="A53" s="12">
        <v>1.91</v>
      </c>
      <c r="C53" s="36" t="s">
        <v>117</v>
      </c>
    </row>
    <row r="54" spans="1:12" ht="15.75" x14ac:dyDescent="0.45">
      <c r="A54" s="12">
        <v>1.92</v>
      </c>
      <c r="C54" s="36" t="s">
        <v>118</v>
      </c>
    </row>
    <row r="55" spans="1:12" ht="15.75" x14ac:dyDescent="0.45">
      <c r="A55" s="12">
        <v>1.83</v>
      </c>
      <c r="C55" s="36" t="s">
        <v>119</v>
      </c>
    </row>
    <row r="56" spans="1:12" ht="15.75" x14ac:dyDescent="0.45">
      <c r="A56" s="12">
        <v>1.8</v>
      </c>
      <c r="C56" s="36" t="s">
        <v>120</v>
      </c>
      <c r="L56" s="76" t="s">
        <v>46</v>
      </c>
    </row>
    <row r="57" spans="1:12" ht="14.65" thickBot="1" x14ac:dyDescent="0.5">
      <c r="A57" s="12">
        <v>1.95</v>
      </c>
    </row>
    <row r="58" spans="1:12" x14ac:dyDescent="0.45">
      <c r="A58" s="12">
        <v>1.89</v>
      </c>
      <c r="C58" s="35" t="s">
        <v>48</v>
      </c>
      <c r="D58" s="35"/>
    </row>
    <row r="59" spans="1:12" x14ac:dyDescent="0.45">
      <c r="A59" s="12">
        <v>1.77</v>
      </c>
    </row>
    <row r="60" spans="1:12" x14ac:dyDescent="0.45">
      <c r="A60" s="12">
        <v>1.7</v>
      </c>
      <c r="C60" t="s">
        <v>49</v>
      </c>
      <c r="D60">
        <v>1.8190833333333338</v>
      </c>
    </row>
    <row r="61" spans="1:12" x14ac:dyDescent="0.45">
      <c r="A61" s="12">
        <v>1.88</v>
      </c>
      <c r="C61" t="s">
        <v>50</v>
      </c>
      <c r="D61">
        <v>5.9679299712650288E-3</v>
      </c>
    </row>
    <row r="62" spans="1:12" x14ac:dyDescent="0.45">
      <c r="A62" s="12">
        <v>1.8</v>
      </c>
      <c r="C62" t="s">
        <v>51</v>
      </c>
      <c r="D62">
        <v>1.82</v>
      </c>
    </row>
    <row r="63" spans="1:12" x14ac:dyDescent="0.45">
      <c r="A63" s="12">
        <v>1.85</v>
      </c>
      <c r="C63" t="s">
        <v>52</v>
      </c>
      <c r="D63">
        <v>1.8</v>
      </c>
    </row>
    <row r="64" spans="1:12" x14ac:dyDescent="0.45">
      <c r="A64" s="12">
        <v>1.88</v>
      </c>
      <c r="C64" t="s">
        <v>53</v>
      </c>
      <c r="D64">
        <v>6.5375397337460284E-2</v>
      </c>
    </row>
    <row r="65" spans="1:4" x14ac:dyDescent="0.45">
      <c r="A65" s="12">
        <v>1.85</v>
      </c>
      <c r="C65" t="s">
        <v>54</v>
      </c>
      <c r="D65">
        <v>4.2739425770308087E-3</v>
      </c>
    </row>
    <row r="66" spans="1:4" x14ac:dyDescent="0.45">
      <c r="A66" s="12">
        <v>1.73</v>
      </c>
      <c r="C66" t="s">
        <v>55</v>
      </c>
      <c r="D66">
        <v>-0.18646006386078406</v>
      </c>
    </row>
    <row r="67" spans="1:4" x14ac:dyDescent="0.45">
      <c r="A67" s="12">
        <v>1.71</v>
      </c>
      <c r="C67" t="s">
        <v>56</v>
      </c>
      <c r="D67">
        <v>2.2441481844546852E-2</v>
      </c>
    </row>
    <row r="68" spans="1:4" x14ac:dyDescent="0.45">
      <c r="A68" s="12">
        <v>1.82</v>
      </c>
      <c r="C68" t="s">
        <v>57</v>
      </c>
      <c r="D68">
        <v>0.33000000000000007</v>
      </c>
    </row>
    <row r="69" spans="1:4" x14ac:dyDescent="0.45">
      <c r="A69" s="12">
        <v>1.77</v>
      </c>
      <c r="C69" t="s">
        <v>58</v>
      </c>
      <c r="D69">
        <v>1.66</v>
      </c>
    </row>
    <row r="70" spans="1:4" x14ac:dyDescent="0.45">
      <c r="A70" s="12">
        <v>1.8</v>
      </c>
      <c r="C70" t="s">
        <v>59</v>
      </c>
      <c r="D70">
        <v>1.99</v>
      </c>
    </row>
    <row r="71" spans="1:4" x14ac:dyDescent="0.45">
      <c r="A71" s="12">
        <v>1.7</v>
      </c>
      <c r="C71" t="s">
        <v>60</v>
      </c>
      <c r="D71">
        <v>218.29000000000005</v>
      </c>
    </row>
    <row r="72" spans="1:4" ht="14.65" thickBot="1" x14ac:dyDescent="0.5">
      <c r="A72" s="12">
        <v>1.71</v>
      </c>
      <c r="C72" s="34" t="s">
        <v>61</v>
      </c>
      <c r="D72" s="34">
        <v>120</v>
      </c>
    </row>
    <row r="73" spans="1:4" x14ac:dyDescent="0.45">
      <c r="A73" s="12">
        <v>1.83</v>
      </c>
    </row>
    <row r="74" spans="1:4" x14ac:dyDescent="0.45">
      <c r="A74" s="12">
        <v>1.76</v>
      </c>
    </row>
    <row r="75" spans="1:4" x14ac:dyDescent="0.45">
      <c r="A75" s="12">
        <v>1.82</v>
      </c>
    </row>
    <row r="76" spans="1:4" x14ac:dyDescent="0.45">
      <c r="A76" s="12">
        <v>1.92</v>
      </c>
    </row>
    <row r="77" spans="1:4" x14ac:dyDescent="0.45">
      <c r="A77" s="12">
        <v>1.8</v>
      </c>
    </row>
    <row r="78" spans="1:4" x14ac:dyDescent="0.45">
      <c r="A78" s="12">
        <v>1.85</v>
      </c>
    </row>
    <row r="79" spans="1:4" x14ac:dyDescent="0.45">
      <c r="A79" s="12">
        <v>1.76</v>
      </c>
    </row>
    <row r="80" spans="1:4" x14ac:dyDescent="0.45">
      <c r="A80" s="12">
        <v>1.74</v>
      </c>
    </row>
    <row r="81" spans="1:1" x14ac:dyDescent="0.45">
      <c r="A81" s="12">
        <v>1.8</v>
      </c>
    </row>
    <row r="82" spans="1:1" x14ac:dyDescent="0.45">
      <c r="A82" s="12">
        <v>1.84</v>
      </c>
    </row>
    <row r="83" spans="1:1" x14ac:dyDescent="0.45">
      <c r="A83" s="12">
        <v>1.84</v>
      </c>
    </row>
    <row r="84" spans="1:1" x14ac:dyDescent="0.45">
      <c r="A84" s="12">
        <v>1.91</v>
      </c>
    </row>
    <row r="85" spans="1:1" x14ac:dyDescent="0.45">
      <c r="A85" s="12">
        <v>1.8</v>
      </c>
    </row>
    <row r="86" spans="1:1" x14ac:dyDescent="0.45">
      <c r="A86" s="12">
        <v>1.84</v>
      </c>
    </row>
    <row r="87" spans="1:1" x14ac:dyDescent="0.45">
      <c r="A87" s="12">
        <v>1.86</v>
      </c>
    </row>
    <row r="88" spans="1:1" x14ac:dyDescent="0.45">
      <c r="A88" s="12">
        <v>1.88</v>
      </c>
    </row>
    <row r="89" spans="1:1" x14ac:dyDescent="0.45">
      <c r="A89" s="12">
        <v>1.75</v>
      </c>
    </row>
    <row r="90" spans="1:1" x14ac:dyDescent="0.45">
      <c r="A90" s="12">
        <v>1.84</v>
      </c>
    </row>
    <row r="91" spans="1:1" x14ac:dyDescent="0.45">
      <c r="A91" s="12">
        <v>1.7</v>
      </c>
    </row>
    <row r="92" spans="1:1" x14ac:dyDescent="0.45">
      <c r="A92" s="12">
        <v>1.8</v>
      </c>
    </row>
    <row r="93" spans="1:1" x14ac:dyDescent="0.45">
      <c r="A93" s="12">
        <v>1.83</v>
      </c>
    </row>
    <row r="94" spans="1:1" x14ac:dyDescent="0.45">
      <c r="A94" s="12">
        <v>1.83</v>
      </c>
    </row>
    <row r="95" spans="1:1" x14ac:dyDescent="0.45">
      <c r="A95" s="12">
        <v>1.79</v>
      </c>
    </row>
    <row r="96" spans="1:1" x14ac:dyDescent="0.45">
      <c r="A96" s="12">
        <v>1.76</v>
      </c>
    </row>
    <row r="97" spans="1:1" x14ac:dyDescent="0.45">
      <c r="A97" s="12">
        <v>1.81</v>
      </c>
    </row>
    <row r="98" spans="1:1" x14ac:dyDescent="0.45">
      <c r="A98" s="12">
        <v>1.83</v>
      </c>
    </row>
    <row r="99" spans="1:1" x14ac:dyDescent="0.45">
      <c r="A99" s="12">
        <v>1.89</v>
      </c>
    </row>
    <row r="100" spans="1:1" x14ac:dyDescent="0.45">
      <c r="A100" s="12">
        <v>1.87</v>
      </c>
    </row>
    <row r="101" spans="1:1" x14ac:dyDescent="0.45">
      <c r="A101" s="12">
        <v>1.84</v>
      </c>
    </row>
    <row r="102" spans="1:1" x14ac:dyDescent="0.45">
      <c r="A102" s="12">
        <v>1.99</v>
      </c>
    </row>
    <row r="103" spans="1:1" x14ac:dyDescent="0.45">
      <c r="A103" s="12">
        <v>1.8</v>
      </c>
    </row>
    <row r="104" spans="1:1" x14ac:dyDescent="0.45">
      <c r="A104" s="12">
        <v>1.87</v>
      </c>
    </row>
    <row r="105" spans="1:1" x14ac:dyDescent="0.45">
      <c r="A105" s="12">
        <v>1.88</v>
      </c>
    </row>
    <row r="106" spans="1:1" x14ac:dyDescent="0.45">
      <c r="A106" s="12">
        <v>1.81</v>
      </c>
    </row>
    <row r="107" spans="1:1" x14ac:dyDescent="0.45">
      <c r="A107" s="12">
        <v>1.78</v>
      </c>
    </row>
    <row r="108" spans="1:1" x14ac:dyDescent="0.45">
      <c r="A108" s="12">
        <v>1.85</v>
      </c>
    </row>
    <row r="109" spans="1:1" x14ac:dyDescent="0.45">
      <c r="A109" s="12">
        <v>1.84</v>
      </c>
    </row>
    <row r="110" spans="1:1" x14ac:dyDescent="0.45">
      <c r="A110" s="12">
        <v>1.8</v>
      </c>
    </row>
    <row r="111" spans="1:1" x14ac:dyDescent="0.45">
      <c r="A111" s="12">
        <v>1.86</v>
      </c>
    </row>
    <row r="112" spans="1:1" x14ac:dyDescent="0.45">
      <c r="A112" s="12">
        <v>1.85</v>
      </c>
    </row>
    <row r="113" spans="1:1" x14ac:dyDescent="0.45">
      <c r="A113" s="12">
        <v>1.9</v>
      </c>
    </row>
    <row r="114" spans="1:1" x14ac:dyDescent="0.45">
      <c r="A114" s="12">
        <v>1.89</v>
      </c>
    </row>
    <row r="115" spans="1:1" x14ac:dyDescent="0.45">
      <c r="A115" s="12">
        <v>1.78</v>
      </c>
    </row>
    <row r="116" spans="1:1" x14ac:dyDescent="0.45">
      <c r="A116" s="12">
        <v>1.79</v>
      </c>
    </row>
    <row r="117" spans="1:1" x14ac:dyDescent="0.45">
      <c r="A117" s="12">
        <v>1.8</v>
      </c>
    </row>
    <row r="118" spans="1:1" x14ac:dyDescent="0.45">
      <c r="A118" s="12">
        <v>1.72</v>
      </c>
    </row>
    <row r="119" spans="1:1" x14ac:dyDescent="0.45">
      <c r="A119" s="12">
        <v>1.78</v>
      </c>
    </row>
    <row r="120" spans="1:1" x14ac:dyDescent="0.45">
      <c r="A120" s="12">
        <v>1.82</v>
      </c>
    </row>
    <row r="121" spans="1:1" x14ac:dyDescent="0.45">
      <c r="A121" s="12">
        <v>1.88</v>
      </c>
    </row>
    <row r="122" spans="1:1" x14ac:dyDescent="0.45">
      <c r="A122" s="12">
        <v>1.8</v>
      </c>
    </row>
    <row r="123" spans="1:1" x14ac:dyDescent="0.45">
      <c r="A123" s="12">
        <v>1.75</v>
      </c>
    </row>
    <row r="124" spans="1:1" x14ac:dyDescent="0.45">
      <c r="A124" s="12">
        <v>1.76</v>
      </c>
    </row>
    <row r="125" spans="1:1" x14ac:dyDescent="0.45">
      <c r="A125" s="12">
        <v>1.75</v>
      </c>
    </row>
    <row r="126" spans="1:1" x14ac:dyDescent="0.45">
      <c r="A126" s="12">
        <v>1.86</v>
      </c>
    </row>
    <row r="127" spans="1:1" x14ac:dyDescent="0.45">
      <c r="A127" s="12">
        <v>1.8</v>
      </c>
    </row>
    <row r="128" spans="1:1" x14ac:dyDescent="0.45">
      <c r="A128" s="12">
        <v>1.85</v>
      </c>
    </row>
    <row r="129" spans="1:1" x14ac:dyDescent="0.45">
      <c r="A129" s="12">
        <v>1.89</v>
      </c>
    </row>
    <row r="130" spans="1:1" x14ac:dyDescent="0.45">
      <c r="A130" s="12">
        <v>1.78</v>
      </c>
    </row>
    <row r="131" spans="1:1" x14ac:dyDescent="0.45">
      <c r="A131" s="12">
        <v>1.77</v>
      </c>
    </row>
    <row r="132" spans="1:1" x14ac:dyDescent="0.45">
      <c r="A132" s="12">
        <v>1.8</v>
      </c>
    </row>
    <row r="133" spans="1:1" x14ac:dyDescent="0.45">
      <c r="A133" s="12">
        <v>1.93</v>
      </c>
    </row>
    <row r="134" spans="1:1" x14ac:dyDescent="0.45">
      <c r="A134" s="12">
        <v>1.86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57CD-527E-4CB9-8242-6AFC59E2CE53}">
  <dimension ref="A10:G52"/>
  <sheetViews>
    <sheetView topLeftCell="A15" zoomScale="282" workbookViewId="0">
      <selection activeCell="G19" sqref="G19"/>
    </sheetView>
  </sheetViews>
  <sheetFormatPr defaultRowHeight="14.25" x14ac:dyDescent="0.45"/>
  <cols>
    <col min="6" max="6" width="13.73046875" customWidth="1"/>
  </cols>
  <sheetData>
    <row r="10" spans="1:7" x14ac:dyDescent="0.45">
      <c r="C10" t="s">
        <v>14</v>
      </c>
      <c r="E10">
        <f>COUNT(A13:A52)</f>
        <v>40</v>
      </c>
    </row>
    <row r="11" spans="1:7" x14ac:dyDescent="0.45">
      <c r="A11" s="1" t="s">
        <v>5</v>
      </c>
    </row>
    <row r="12" spans="1:7" x14ac:dyDescent="0.45">
      <c r="C12" s="1" t="s">
        <v>69</v>
      </c>
    </row>
    <row r="13" spans="1:7" x14ac:dyDescent="0.45">
      <c r="A13">
        <v>24</v>
      </c>
      <c r="C13" t="s">
        <v>70</v>
      </c>
    </row>
    <row r="14" spans="1:7" x14ac:dyDescent="0.45">
      <c r="A14">
        <v>24</v>
      </c>
    </row>
    <row r="15" spans="1:7" ht="14.65" thickBot="1" x14ac:dyDescent="0.5">
      <c r="A15">
        <v>24</v>
      </c>
      <c r="C15" t="s">
        <v>37</v>
      </c>
    </row>
    <row r="16" spans="1:7" x14ac:dyDescent="0.45">
      <c r="A16">
        <v>23</v>
      </c>
      <c r="C16" s="40" t="s">
        <v>11</v>
      </c>
      <c r="D16" s="41" t="s">
        <v>12</v>
      </c>
      <c r="E16" s="41" t="s">
        <v>13</v>
      </c>
      <c r="F16" s="41" t="s">
        <v>28</v>
      </c>
      <c r="G16" s="42" t="s">
        <v>29</v>
      </c>
    </row>
    <row r="17" spans="1:7" x14ac:dyDescent="0.45">
      <c r="A17">
        <v>27</v>
      </c>
      <c r="C17" s="45">
        <v>23</v>
      </c>
      <c r="D17" s="19">
        <f>COUNTIF($A$13:$A$52,C17)</f>
        <v>4</v>
      </c>
      <c r="E17" s="46">
        <f>D17/40</f>
        <v>0.1</v>
      </c>
      <c r="F17" s="19">
        <f>D17</f>
        <v>4</v>
      </c>
      <c r="G17" s="47">
        <f>E17</f>
        <v>0.1</v>
      </c>
    </row>
    <row r="18" spans="1:7" x14ac:dyDescent="0.45">
      <c r="A18">
        <v>26</v>
      </c>
      <c r="C18" s="45">
        <v>24</v>
      </c>
      <c r="D18" s="19">
        <f t="shared" ref="D18:D22" si="0">COUNTIF($A$13:$A$52,C18)</f>
        <v>7</v>
      </c>
      <c r="E18" s="46">
        <f t="shared" ref="E18:E22" si="1">D18/40</f>
        <v>0.17499999999999999</v>
      </c>
      <c r="F18" s="19">
        <f>F17+D18</f>
        <v>11</v>
      </c>
      <c r="G18" s="47">
        <f>G17+E18</f>
        <v>0.27500000000000002</v>
      </c>
    </row>
    <row r="19" spans="1:7" x14ac:dyDescent="0.45">
      <c r="A19">
        <v>26</v>
      </c>
      <c r="C19" s="45">
        <v>25</v>
      </c>
      <c r="D19" s="19">
        <f t="shared" si="0"/>
        <v>6</v>
      </c>
      <c r="E19" s="46">
        <f t="shared" si="1"/>
        <v>0.15</v>
      </c>
      <c r="F19" s="19">
        <f t="shared" ref="F19:F22" si="2">F18+D19</f>
        <v>17</v>
      </c>
      <c r="G19" s="47">
        <f t="shared" ref="G19:G22" si="3">G18+E19</f>
        <v>0.42500000000000004</v>
      </c>
    </row>
    <row r="20" spans="1:7" x14ac:dyDescent="0.45">
      <c r="A20">
        <v>27</v>
      </c>
      <c r="C20" s="45">
        <v>26</v>
      </c>
      <c r="D20" s="19">
        <f t="shared" si="0"/>
        <v>9</v>
      </c>
      <c r="E20" s="46">
        <f t="shared" si="1"/>
        <v>0.22500000000000001</v>
      </c>
      <c r="F20" s="19">
        <f t="shared" si="2"/>
        <v>26</v>
      </c>
      <c r="G20" s="47">
        <f t="shared" si="3"/>
        <v>0.65</v>
      </c>
    </row>
    <row r="21" spans="1:7" x14ac:dyDescent="0.45">
      <c r="A21">
        <v>26</v>
      </c>
      <c r="C21" s="45">
        <v>27</v>
      </c>
      <c r="D21" s="19">
        <f t="shared" si="0"/>
        <v>8</v>
      </c>
      <c r="E21" s="46">
        <f t="shared" si="1"/>
        <v>0.2</v>
      </c>
      <c r="F21" s="19">
        <f t="shared" si="2"/>
        <v>34</v>
      </c>
      <c r="G21" s="47">
        <f t="shared" si="3"/>
        <v>0.85000000000000009</v>
      </c>
    </row>
    <row r="22" spans="1:7" ht="14.65" thickBot="1" x14ac:dyDescent="0.5">
      <c r="A22">
        <v>26</v>
      </c>
      <c r="C22" s="48">
        <v>28</v>
      </c>
      <c r="D22" s="49">
        <f t="shared" si="0"/>
        <v>6</v>
      </c>
      <c r="E22" s="50">
        <f t="shared" si="1"/>
        <v>0.15</v>
      </c>
      <c r="F22" s="49">
        <f t="shared" si="2"/>
        <v>40</v>
      </c>
      <c r="G22" s="51">
        <f t="shared" si="3"/>
        <v>1</v>
      </c>
    </row>
    <row r="23" spans="1:7" x14ac:dyDescent="0.45">
      <c r="A23">
        <v>23</v>
      </c>
      <c r="C23" t="s">
        <v>30</v>
      </c>
      <c r="D23">
        <f>SUM(D17:D22)</f>
        <v>40</v>
      </c>
      <c r="E23" s="9">
        <f>SUM(E17:E22)</f>
        <v>1</v>
      </c>
    </row>
    <row r="24" spans="1:7" x14ac:dyDescent="0.45">
      <c r="A24">
        <v>28</v>
      </c>
    </row>
    <row r="25" spans="1:7" ht="14.65" thickBot="1" x14ac:dyDescent="0.5">
      <c r="A25">
        <v>28</v>
      </c>
      <c r="C25" s="1" t="s">
        <v>71</v>
      </c>
    </row>
    <row r="26" spans="1:7" x14ac:dyDescent="0.45">
      <c r="A26">
        <v>27</v>
      </c>
      <c r="C26" s="35" t="s">
        <v>48</v>
      </c>
      <c r="D26" s="35"/>
      <c r="F26" t="s">
        <v>72</v>
      </c>
      <c r="G26">
        <v>25.7</v>
      </c>
    </row>
    <row r="27" spans="1:7" x14ac:dyDescent="0.45">
      <c r="A27">
        <v>25</v>
      </c>
      <c r="F27" t="s">
        <v>73</v>
      </c>
      <c r="G27">
        <v>1.6</v>
      </c>
    </row>
    <row r="28" spans="1:7" x14ac:dyDescent="0.45">
      <c r="A28">
        <v>27</v>
      </c>
      <c r="C28" t="s">
        <v>49</v>
      </c>
      <c r="D28">
        <v>25.7</v>
      </c>
    </row>
    <row r="29" spans="1:7" x14ac:dyDescent="0.45">
      <c r="A29">
        <v>25</v>
      </c>
      <c r="C29" t="s">
        <v>50</v>
      </c>
      <c r="D29">
        <v>0.25115119565099248</v>
      </c>
    </row>
    <row r="30" spans="1:7" x14ac:dyDescent="0.45">
      <c r="A30">
        <v>28</v>
      </c>
      <c r="C30" t="s">
        <v>51</v>
      </c>
      <c r="D30">
        <v>26</v>
      </c>
    </row>
    <row r="31" spans="1:7" x14ac:dyDescent="0.45">
      <c r="A31">
        <v>27</v>
      </c>
      <c r="C31" t="s">
        <v>52</v>
      </c>
      <c r="D31">
        <v>26</v>
      </c>
    </row>
    <row r="32" spans="1:7" x14ac:dyDescent="0.45">
      <c r="A32">
        <v>24</v>
      </c>
      <c r="C32" t="s">
        <v>53</v>
      </c>
      <c r="D32">
        <v>1.5884196306634226</v>
      </c>
    </row>
    <row r="33" spans="1:4" x14ac:dyDescent="0.45">
      <c r="A33">
        <v>23</v>
      </c>
      <c r="C33" t="s">
        <v>54</v>
      </c>
      <c r="D33">
        <v>2.5230769230769239</v>
      </c>
    </row>
    <row r="34" spans="1:4" x14ac:dyDescent="0.45">
      <c r="A34">
        <v>23</v>
      </c>
      <c r="C34" t="s">
        <v>55</v>
      </c>
      <c r="D34">
        <v>-1.0686561079693315</v>
      </c>
    </row>
    <row r="35" spans="1:4" x14ac:dyDescent="0.45">
      <c r="A35">
        <v>28</v>
      </c>
      <c r="C35" t="s">
        <v>56</v>
      </c>
      <c r="D35">
        <v>-0.16405645939606486</v>
      </c>
    </row>
    <row r="36" spans="1:4" x14ac:dyDescent="0.45">
      <c r="A36">
        <v>26</v>
      </c>
      <c r="C36" t="s">
        <v>57</v>
      </c>
      <c r="D36">
        <v>5</v>
      </c>
    </row>
    <row r="37" spans="1:4" x14ac:dyDescent="0.45">
      <c r="A37">
        <v>28</v>
      </c>
      <c r="C37" t="s">
        <v>58</v>
      </c>
      <c r="D37">
        <v>23</v>
      </c>
    </row>
    <row r="38" spans="1:4" x14ac:dyDescent="0.45">
      <c r="A38">
        <v>27</v>
      </c>
      <c r="C38" t="s">
        <v>59</v>
      </c>
      <c r="D38">
        <v>28</v>
      </c>
    </row>
    <row r="39" spans="1:4" x14ac:dyDescent="0.45">
      <c r="A39">
        <v>25</v>
      </c>
      <c r="C39" t="s">
        <v>60</v>
      </c>
      <c r="D39">
        <v>1028</v>
      </c>
    </row>
    <row r="40" spans="1:4" ht="14.65" thickBot="1" x14ac:dyDescent="0.5">
      <c r="A40">
        <v>26</v>
      </c>
      <c r="C40" s="34" t="s">
        <v>61</v>
      </c>
      <c r="D40" s="34">
        <v>40</v>
      </c>
    </row>
    <row r="41" spans="1:4" x14ac:dyDescent="0.45">
      <c r="A41">
        <v>25</v>
      </c>
    </row>
    <row r="42" spans="1:4" x14ac:dyDescent="0.45">
      <c r="A42">
        <v>26</v>
      </c>
      <c r="C42" s="1" t="s">
        <v>74</v>
      </c>
      <c r="D42" t="s">
        <v>75</v>
      </c>
    </row>
    <row r="43" spans="1:4" x14ac:dyDescent="0.45">
      <c r="A43">
        <v>25</v>
      </c>
    </row>
    <row r="44" spans="1:4" x14ac:dyDescent="0.45">
      <c r="A44">
        <v>26</v>
      </c>
    </row>
    <row r="45" spans="1:4" x14ac:dyDescent="0.45">
      <c r="A45">
        <v>26</v>
      </c>
    </row>
    <row r="46" spans="1:4" x14ac:dyDescent="0.45">
      <c r="A46">
        <v>27</v>
      </c>
    </row>
    <row r="47" spans="1:4" x14ac:dyDescent="0.45">
      <c r="A47">
        <v>24</v>
      </c>
    </row>
    <row r="48" spans="1:4" x14ac:dyDescent="0.45">
      <c r="A48">
        <v>25</v>
      </c>
    </row>
    <row r="49" spans="1:1" x14ac:dyDescent="0.45">
      <c r="A49">
        <v>28</v>
      </c>
    </row>
    <row r="50" spans="1:1" x14ac:dyDescent="0.45">
      <c r="A50">
        <v>24</v>
      </c>
    </row>
    <row r="51" spans="1:1" x14ac:dyDescent="0.45">
      <c r="A51">
        <v>27</v>
      </c>
    </row>
    <row r="52" spans="1:1" x14ac:dyDescent="0.45">
      <c r="A52">
        <v>24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C5F3E-44C8-4AAD-AFFC-0F8BE26EBD2A}">
  <dimension ref="A14:R164"/>
  <sheetViews>
    <sheetView zoomScale="97" workbookViewId="0">
      <selection activeCell="O22" sqref="O22"/>
    </sheetView>
  </sheetViews>
  <sheetFormatPr defaultRowHeight="14.25" x14ac:dyDescent="0.45"/>
  <sheetData>
    <row r="14" spans="1:5" x14ac:dyDescent="0.45">
      <c r="A14" s="1" t="s">
        <v>0</v>
      </c>
      <c r="C14" t="s">
        <v>14</v>
      </c>
      <c r="E14">
        <f>COUNT(A15:A164)</f>
        <v>150</v>
      </c>
    </row>
    <row r="15" spans="1:5" x14ac:dyDescent="0.45">
      <c r="A15">
        <v>169</v>
      </c>
    </row>
    <row r="16" spans="1:5" x14ac:dyDescent="0.45">
      <c r="A16">
        <v>143</v>
      </c>
      <c r="C16" t="s">
        <v>106</v>
      </c>
      <c r="E16">
        <f>INT(LOG(150,2))+1</f>
        <v>8</v>
      </c>
    </row>
    <row r="17" spans="1:10" x14ac:dyDescent="0.45">
      <c r="A17">
        <v>190</v>
      </c>
    </row>
    <row r="18" spans="1:10" x14ac:dyDescent="0.45">
      <c r="A18">
        <v>184</v>
      </c>
      <c r="C18" t="s">
        <v>59</v>
      </c>
      <c r="D18">
        <f>MAX(A15:A164)</f>
        <v>198</v>
      </c>
    </row>
    <row r="19" spans="1:10" x14ac:dyDescent="0.45">
      <c r="A19">
        <v>174</v>
      </c>
      <c r="C19" t="s">
        <v>58</v>
      </c>
      <c r="D19">
        <f>MIN(A15:A164)</f>
        <v>103</v>
      </c>
    </row>
    <row r="20" spans="1:10" x14ac:dyDescent="0.45">
      <c r="A20">
        <v>162</v>
      </c>
    </row>
    <row r="21" spans="1:10" x14ac:dyDescent="0.45">
      <c r="A21">
        <v>157</v>
      </c>
      <c r="C21" t="s">
        <v>107</v>
      </c>
    </row>
    <row r="22" spans="1:10" x14ac:dyDescent="0.45">
      <c r="A22">
        <v>176</v>
      </c>
      <c r="C22">
        <f>(D18-D19)/8</f>
        <v>11.875</v>
      </c>
      <c r="D22">
        <v>12</v>
      </c>
    </row>
    <row r="23" spans="1:10" x14ac:dyDescent="0.45">
      <c r="A23">
        <v>125</v>
      </c>
    </row>
    <row r="24" spans="1:10" x14ac:dyDescent="0.45">
      <c r="A24">
        <v>173</v>
      </c>
      <c r="C24" t="s">
        <v>78</v>
      </c>
      <c r="F24" t="s">
        <v>37</v>
      </c>
    </row>
    <row r="25" spans="1:10" x14ac:dyDescent="0.45">
      <c r="A25">
        <v>126</v>
      </c>
      <c r="C25">
        <v>102</v>
      </c>
      <c r="F25" t="s">
        <v>79</v>
      </c>
      <c r="G25" t="s">
        <v>12</v>
      </c>
      <c r="H25" t="s">
        <v>13</v>
      </c>
      <c r="I25" t="s">
        <v>28</v>
      </c>
      <c r="J25" t="s">
        <v>29</v>
      </c>
    </row>
    <row r="26" spans="1:10" x14ac:dyDescent="0.45">
      <c r="A26">
        <v>194</v>
      </c>
      <c r="C26">
        <f>C25+12</f>
        <v>114</v>
      </c>
      <c r="F26" t="str">
        <f>CONCATENATE("]",C25,";",C26,"]")</f>
        <v>]102;114]</v>
      </c>
      <c r="G26">
        <f t="array" ref="G26:G33">FREQUENCY(A15:A164,C26:C33)</f>
        <v>14</v>
      </c>
      <c r="H26" s="7">
        <f>G26/150</f>
        <v>9.3333333333333338E-2</v>
      </c>
      <c r="I26">
        <f>G26</f>
        <v>14</v>
      </c>
      <c r="J26" s="33">
        <f>H26</f>
        <v>9.3333333333333338E-2</v>
      </c>
    </row>
    <row r="27" spans="1:10" x14ac:dyDescent="0.45">
      <c r="A27">
        <v>150</v>
      </c>
      <c r="C27">
        <f t="shared" ref="C27:C33" si="0">C26+12</f>
        <v>126</v>
      </c>
      <c r="F27" t="str">
        <f t="shared" ref="F27:F33" si="1">CONCATENATE("]",C26,";",C27,"]")</f>
        <v>]114;126]</v>
      </c>
      <c r="G27">
        <v>21</v>
      </c>
      <c r="H27" s="7">
        <f t="shared" ref="H27:H33" si="2">G27/150</f>
        <v>0.14000000000000001</v>
      </c>
      <c r="I27">
        <f>I26+G27</f>
        <v>35</v>
      </c>
      <c r="J27" s="33">
        <f>J26+H27</f>
        <v>0.23333333333333334</v>
      </c>
    </row>
    <row r="28" spans="1:10" x14ac:dyDescent="0.45">
      <c r="A28">
        <v>133</v>
      </c>
      <c r="C28">
        <f t="shared" si="0"/>
        <v>138</v>
      </c>
      <c r="F28" t="str">
        <f t="shared" si="1"/>
        <v>]126;138]</v>
      </c>
      <c r="G28">
        <v>16</v>
      </c>
      <c r="H28" s="7">
        <f t="shared" si="2"/>
        <v>0.10666666666666667</v>
      </c>
      <c r="I28">
        <f t="shared" ref="I28:I33" si="3">I27+G28</f>
        <v>51</v>
      </c>
      <c r="J28" s="33">
        <f t="shared" ref="J28:J33" si="4">J27+H28</f>
        <v>0.34</v>
      </c>
    </row>
    <row r="29" spans="1:10" x14ac:dyDescent="0.45">
      <c r="A29">
        <v>130</v>
      </c>
      <c r="C29">
        <f t="shared" si="0"/>
        <v>150</v>
      </c>
      <c r="F29" t="str">
        <f t="shared" si="1"/>
        <v>]138;150]</v>
      </c>
      <c r="G29">
        <v>23</v>
      </c>
      <c r="H29" s="7">
        <f t="shared" si="2"/>
        <v>0.15333333333333332</v>
      </c>
      <c r="I29">
        <f t="shared" si="3"/>
        <v>74</v>
      </c>
      <c r="J29" s="33">
        <f t="shared" si="4"/>
        <v>0.49333333333333335</v>
      </c>
    </row>
    <row r="30" spans="1:10" x14ac:dyDescent="0.45">
      <c r="A30">
        <v>158</v>
      </c>
      <c r="C30">
        <f t="shared" si="0"/>
        <v>162</v>
      </c>
      <c r="F30" t="str">
        <f t="shared" si="1"/>
        <v>]150;162]</v>
      </c>
      <c r="G30">
        <v>24</v>
      </c>
      <c r="H30" s="7">
        <f t="shared" si="2"/>
        <v>0.16</v>
      </c>
      <c r="I30">
        <f t="shared" si="3"/>
        <v>98</v>
      </c>
      <c r="J30" s="33">
        <f t="shared" si="4"/>
        <v>0.65333333333333332</v>
      </c>
    </row>
    <row r="31" spans="1:10" x14ac:dyDescent="0.45">
      <c r="A31">
        <v>116</v>
      </c>
      <c r="C31">
        <f t="shared" si="0"/>
        <v>174</v>
      </c>
      <c r="F31" t="str">
        <f t="shared" si="1"/>
        <v>]162;174]</v>
      </c>
      <c r="G31">
        <v>24</v>
      </c>
      <c r="H31" s="7">
        <f t="shared" si="2"/>
        <v>0.16</v>
      </c>
      <c r="I31">
        <f t="shared" si="3"/>
        <v>122</v>
      </c>
      <c r="J31" s="33">
        <f t="shared" si="4"/>
        <v>0.81333333333333335</v>
      </c>
    </row>
    <row r="32" spans="1:10" x14ac:dyDescent="0.45">
      <c r="A32">
        <v>162</v>
      </c>
      <c r="C32">
        <f t="shared" si="0"/>
        <v>186</v>
      </c>
      <c r="F32" t="str">
        <f t="shared" si="1"/>
        <v>]174;186]</v>
      </c>
      <c r="G32">
        <v>17</v>
      </c>
      <c r="H32" s="7">
        <f t="shared" si="2"/>
        <v>0.11333333333333333</v>
      </c>
      <c r="I32">
        <f t="shared" si="3"/>
        <v>139</v>
      </c>
      <c r="J32" s="33">
        <f t="shared" si="4"/>
        <v>0.92666666666666664</v>
      </c>
    </row>
    <row r="33" spans="1:18" x14ac:dyDescent="0.45">
      <c r="A33">
        <v>113</v>
      </c>
      <c r="C33">
        <f t="shared" si="0"/>
        <v>198</v>
      </c>
      <c r="F33" t="str">
        <f t="shared" si="1"/>
        <v>]186;198]</v>
      </c>
      <c r="G33">
        <v>11</v>
      </c>
      <c r="H33" s="7">
        <f t="shared" si="2"/>
        <v>7.3333333333333334E-2</v>
      </c>
      <c r="I33">
        <f t="shared" si="3"/>
        <v>150</v>
      </c>
      <c r="J33" s="33">
        <f t="shared" si="4"/>
        <v>1</v>
      </c>
    </row>
    <row r="34" spans="1:18" x14ac:dyDescent="0.45">
      <c r="A34">
        <v>130</v>
      </c>
    </row>
    <row r="35" spans="1:18" x14ac:dyDescent="0.45">
      <c r="A35">
        <v>195</v>
      </c>
    </row>
    <row r="36" spans="1:18" x14ac:dyDescent="0.45">
      <c r="A36">
        <v>133</v>
      </c>
      <c r="C36" s="1" t="s">
        <v>121</v>
      </c>
    </row>
    <row r="37" spans="1:18" ht="14.65" thickBot="1" x14ac:dyDescent="0.5">
      <c r="A37">
        <v>127</v>
      </c>
    </row>
    <row r="38" spans="1:18" x14ac:dyDescent="0.45">
      <c r="A38">
        <v>168</v>
      </c>
      <c r="Q38" s="35" t="s">
        <v>48</v>
      </c>
      <c r="R38" s="35"/>
    </row>
    <row r="39" spans="1:18" x14ac:dyDescent="0.45">
      <c r="A39">
        <v>131</v>
      </c>
    </row>
    <row r="40" spans="1:18" x14ac:dyDescent="0.45">
      <c r="A40">
        <v>187</v>
      </c>
      <c r="Q40" t="s">
        <v>49</v>
      </c>
      <c r="R40">
        <v>150.06</v>
      </c>
    </row>
    <row r="41" spans="1:18" x14ac:dyDescent="0.45">
      <c r="A41">
        <v>125</v>
      </c>
      <c r="Q41" t="s">
        <v>50</v>
      </c>
      <c r="R41">
        <v>2.0771092888345724</v>
      </c>
    </row>
    <row r="42" spans="1:18" x14ac:dyDescent="0.45">
      <c r="A42">
        <v>138</v>
      </c>
      <c r="Q42" t="s">
        <v>51</v>
      </c>
      <c r="R42">
        <v>151.5</v>
      </c>
    </row>
    <row r="43" spans="1:18" x14ac:dyDescent="0.45">
      <c r="A43">
        <v>197</v>
      </c>
      <c r="Q43" t="s">
        <v>52</v>
      </c>
      <c r="R43">
        <v>167</v>
      </c>
    </row>
    <row r="44" spans="1:18" x14ac:dyDescent="0.45">
      <c r="A44">
        <v>186</v>
      </c>
      <c r="Q44" t="s">
        <v>53</v>
      </c>
      <c r="R44">
        <v>25.43928948819973</v>
      </c>
    </row>
    <row r="45" spans="1:18" x14ac:dyDescent="0.45">
      <c r="A45">
        <v>187</v>
      </c>
      <c r="Q45" t="s">
        <v>54</v>
      </c>
      <c r="R45">
        <v>647.15744966442924</v>
      </c>
    </row>
    <row r="46" spans="1:18" x14ac:dyDescent="0.45">
      <c r="A46">
        <v>139</v>
      </c>
      <c r="Q46" t="s">
        <v>55</v>
      </c>
      <c r="R46">
        <v>-1.0331549668844429</v>
      </c>
    </row>
    <row r="47" spans="1:18" x14ac:dyDescent="0.45">
      <c r="A47">
        <v>167</v>
      </c>
      <c r="Q47" t="s">
        <v>56</v>
      </c>
      <c r="R47">
        <v>-2.7468255670819064E-2</v>
      </c>
    </row>
    <row r="48" spans="1:18" x14ac:dyDescent="0.45">
      <c r="A48">
        <v>141</v>
      </c>
      <c r="Q48" t="s">
        <v>57</v>
      </c>
      <c r="R48">
        <v>95</v>
      </c>
    </row>
    <row r="49" spans="1:18" x14ac:dyDescent="0.45">
      <c r="A49">
        <v>194</v>
      </c>
      <c r="Q49" t="s">
        <v>58</v>
      </c>
      <c r="R49">
        <v>103</v>
      </c>
    </row>
    <row r="50" spans="1:18" x14ac:dyDescent="0.45">
      <c r="A50">
        <v>154</v>
      </c>
      <c r="Q50" t="s">
        <v>59</v>
      </c>
      <c r="R50">
        <v>198</v>
      </c>
    </row>
    <row r="51" spans="1:18" x14ac:dyDescent="0.45">
      <c r="A51">
        <v>169</v>
      </c>
      <c r="Q51" t="s">
        <v>60</v>
      </c>
      <c r="R51">
        <v>22509</v>
      </c>
    </row>
    <row r="52" spans="1:18" ht="14.65" thickBot="1" x14ac:dyDescent="0.5">
      <c r="A52">
        <v>110</v>
      </c>
      <c r="C52" s="1" t="s">
        <v>122</v>
      </c>
      <c r="Q52" s="34" t="s">
        <v>61</v>
      </c>
      <c r="R52" s="34">
        <v>150</v>
      </c>
    </row>
    <row r="53" spans="1:18" ht="15.75" x14ac:dyDescent="0.45">
      <c r="A53">
        <v>181</v>
      </c>
      <c r="C53" s="36" t="s">
        <v>123</v>
      </c>
    </row>
    <row r="54" spans="1:18" ht="15.75" x14ac:dyDescent="0.45">
      <c r="A54">
        <v>198</v>
      </c>
      <c r="C54" s="36" t="s">
        <v>124</v>
      </c>
    </row>
    <row r="55" spans="1:18" ht="15.75" x14ac:dyDescent="0.45">
      <c r="A55">
        <v>118</v>
      </c>
      <c r="C55" s="36" t="s">
        <v>125</v>
      </c>
    </row>
    <row r="56" spans="1:18" ht="15.75" x14ac:dyDescent="0.45">
      <c r="A56">
        <v>168</v>
      </c>
      <c r="C56" s="36" t="s">
        <v>126</v>
      </c>
    </row>
    <row r="57" spans="1:18" ht="15.75" x14ac:dyDescent="0.45">
      <c r="A57">
        <v>173</v>
      </c>
      <c r="C57" s="36" t="s">
        <v>127</v>
      </c>
    </row>
    <row r="58" spans="1:18" x14ac:dyDescent="0.45">
      <c r="A58">
        <v>165</v>
      </c>
    </row>
    <row r="59" spans="1:18" x14ac:dyDescent="0.45">
      <c r="A59">
        <v>180</v>
      </c>
      <c r="D59">
        <f>COUNTIF(A15:A164,"&lt;140")</f>
        <v>53</v>
      </c>
    </row>
    <row r="60" spans="1:18" x14ac:dyDescent="0.45">
      <c r="A60">
        <v>175</v>
      </c>
      <c r="D60" s="6">
        <f>53/150</f>
        <v>0.35333333333333333</v>
      </c>
    </row>
    <row r="61" spans="1:18" x14ac:dyDescent="0.45">
      <c r="A61">
        <v>184</v>
      </c>
    </row>
    <row r="62" spans="1:18" x14ac:dyDescent="0.45">
      <c r="A62">
        <v>157</v>
      </c>
    </row>
    <row r="63" spans="1:18" x14ac:dyDescent="0.45">
      <c r="A63">
        <v>164</v>
      </c>
    </row>
    <row r="64" spans="1:18" x14ac:dyDescent="0.45">
      <c r="A64">
        <v>151</v>
      </c>
    </row>
    <row r="65" spans="1:1" x14ac:dyDescent="0.45">
      <c r="A65">
        <v>147</v>
      </c>
    </row>
    <row r="66" spans="1:1" x14ac:dyDescent="0.45">
      <c r="A66">
        <v>149</v>
      </c>
    </row>
    <row r="67" spans="1:1" x14ac:dyDescent="0.45">
      <c r="A67">
        <v>196</v>
      </c>
    </row>
    <row r="68" spans="1:1" x14ac:dyDescent="0.45">
      <c r="A68">
        <v>144</v>
      </c>
    </row>
    <row r="69" spans="1:1" x14ac:dyDescent="0.45">
      <c r="A69">
        <v>175</v>
      </c>
    </row>
    <row r="70" spans="1:1" x14ac:dyDescent="0.45">
      <c r="A70">
        <v>156</v>
      </c>
    </row>
    <row r="71" spans="1:1" x14ac:dyDescent="0.45">
      <c r="A71">
        <v>132</v>
      </c>
    </row>
    <row r="72" spans="1:1" x14ac:dyDescent="0.45">
      <c r="A72">
        <v>164</v>
      </c>
    </row>
    <row r="73" spans="1:1" x14ac:dyDescent="0.45">
      <c r="A73">
        <v>124</v>
      </c>
    </row>
    <row r="74" spans="1:1" x14ac:dyDescent="0.45">
      <c r="A74">
        <v>142</v>
      </c>
    </row>
    <row r="75" spans="1:1" x14ac:dyDescent="0.45">
      <c r="A75">
        <v>159</v>
      </c>
    </row>
    <row r="76" spans="1:1" x14ac:dyDescent="0.45">
      <c r="A76">
        <v>140</v>
      </c>
    </row>
    <row r="77" spans="1:1" x14ac:dyDescent="0.45">
      <c r="A77">
        <v>171</v>
      </c>
    </row>
    <row r="78" spans="1:1" x14ac:dyDescent="0.45">
      <c r="A78">
        <v>166</v>
      </c>
    </row>
    <row r="79" spans="1:1" x14ac:dyDescent="0.45">
      <c r="A79">
        <v>142</v>
      </c>
    </row>
    <row r="80" spans="1:1" x14ac:dyDescent="0.45">
      <c r="A80">
        <v>113</v>
      </c>
    </row>
    <row r="81" spans="1:1" x14ac:dyDescent="0.45">
      <c r="A81">
        <v>139</v>
      </c>
    </row>
    <row r="82" spans="1:1" x14ac:dyDescent="0.45">
      <c r="A82">
        <v>153</v>
      </c>
    </row>
    <row r="83" spans="1:1" x14ac:dyDescent="0.45">
      <c r="A83">
        <v>161</v>
      </c>
    </row>
    <row r="84" spans="1:1" x14ac:dyDescent="0.45">
      <c r="A84">
        <v>161</v>
      </c>
    </row>
    <row r="85" spans="1:1" x14ac:dyDescent="0.45">
      <c r="A85">
        <v>117</v>
      </c>
    </row>
    <row r="86" spans="1:1" x14ac:dyDescent="0.45">
      <c r="A86">
        <v>159</v>
      </c>
    </row>
    <row r="87" spans="1:1" x14ac:dyDescent="0.45">
      <c r="A87">
        <v>150</v>
      </c>
    </row>
    <row r="88" spans="1:1" x14ac:dyDescent="0.45">
      <c r="A88">
        <v>173</v>
      </c>
    </row>
    <row r="89" spans="1:1" x14ac:dyDescent="0.45">
      <c r="A89">
        <v>137</v>
      </c>
    </row>
    <row r="90" spans="1:1" x14ac:dyDescent="0.45">
      <c r="A90">
        <v>111</v>
      </c>
    </row>
    <row r="91" spans="1:1" x14ac:dyDescent="0.45">
      <c r="A91">
        <v>117</v>
      </c>
    </row>
    <row r="92" spans="1:1" x14ac:dyDescent="0.45">
      <c r="A92">
        <v>146</v>
      </c>
    </row>
    <row r="93" spans="1:1" x14ac:dyDescent="0.45">
      <c r="A93">
        <v>136</v>
      </c>
    </row>
    <row r="94" spans="1:1" x14ac:dyDescent="0.45">
      <c r="A94">
        <v>167</v>
      </c>
    </row>
    <row r="95" spans="1:1" x14ac:dyDescent="0.45">
      <c r="A95">
        <v>158</v>
      </c>
    </row>
    <row r="96" spans="1:1" x14ac:dyDescent="0.45">
      <c r="A96">
        <v>156</v>
      </c>
    </row>
    <row r="97" spans="1:1" x14ac:dyDescent="0.45">
      <c r="A97">
        <v>118</v>
      </c>
    </row>
    <row r="98" spans="1:1" x14ac:dyDescent="0.45">
      <c r="A98">
        <v>107</v>
      </c>
    </row>
    <row r="99" spans="1:1" x14ac:dyDescent="0.45">
      <c r="A99">
        <v>172</v>
      </c>
    </row>
    <row r="100" spans="1:1" x14ac:dyDescent="0.45">
      <c r="A100">
        <v>158</v>
      </c>
    </row>
    <row r="101" spans="1:1" x14ac:dyDescent="0.45">
      <c r="A101">
        <v>159</v>
      </c>
    </row>
    <row r="102" spans="1:1" x14ac:dyDescent="0.45">
      <c r="A102">
        <v>113</v>
      </c>
    </row>
    <row r="103" spans="1:1" x14ac:dyDescent="0.45">
      <c r="A103">
        <v>103</v>
      </c>
    </row>
    <row r="104" spans="1:1" x14ac:dyDescent="0.45">
      <c r="A104">
        <v>162</v>
      </c>
    </row>
    <row r="105" spans="1:1" x14ac:dyDescent="0.45">
      <c r="A105">
        <v>141</v>
      </c>
    </row>
    <row r="106" spans="1:1" x14ac:dyDescent="0.45">
      <c r="A106">
        <v>120</v>
      </c>
    </row>
    <row r="107" spans="1:1" x14ac:dyDescent="0.45">
      <c r="A107">
        <v>181</v>
      </c>
    </row>
    <row r="108" spans="1:1" x14ac:dyDescent="0.45">
      <c r="A108">
        <v>181</v>
      </c>
    </row>
    <row r="109" spans="1:1" x14ac:dyDescent="0.45">
      <c r="A109">
        <v>181</v>
      </c>
    </row>
    <row r="110" spans="1:1" x14ac:dyDescent="0.45">
      <c r="A110">
        <v>116</v>
      </c>
    </row>
    <row r="111" spans="1:1" x14ac:dyDescent="0.45">
      <c r="A111">
        <v>127</v>
      </c>
    </row>
    <row r="112" spans="1:1" x14ac:dyDescent="0.45">
      <c r="A112">
        <v>135</v>
      </c>
    </row>
    <row r="113" spans="1:1" x14ac:dyDescent="0.45">
      <c r="A113">
        <v>167</v>
      </c>
    </row>
    <row r="114" spans="1:1" x14ac:dyDescent="0.45">
      <c r="A114">
        <v>104</v>
      </c>
    </row>
    <row r="115" spans="1:1" x14ac:dyDescent="0.45">
      <c r="A115">
        <v>186</v>
      </c>
    </row>
    <row r="116" spans="1:1" x14ac:dyDescent="0.45">
      <c r="A116">
        <v>144</v>
      </c>
    </row>
    <row r="117" spans="1:1" x14ac:dyDescent="0.45">
      <c r="A117">
        <v>140</v>
      </c>
    </row>
    <row r="118" spans="1:1" x14ac:dyDescent="0.45">
      <c r="A118">
        <v>167</v>
      </c>
    </row>
    <row r="119" spans="1:1" x14ac:dyDescent="0.45">
      <c r="A119">
        <v>154</v>
      </c>
    </row>
    <row r="120" spans="1:1" x14ac:dyDescent="0.45">
      <c r="A120">
        <v>109</v>
      </c>
    </row>
    <row r="121" spans="1:1" x14ac:dyDescent="0.45">
      <c r="A121">
        <v>155</v>
      </c>
    </row>
    <row r="122" spans="1:1" x14ac:dyDescent="0.45">
      <c r="A122">
        <v>141</v>
      </c>
    </row>
    <row r="123" spans="1:1" x14ac:dyDescent="0.45">
      <c r="A123">
        <v>156</v>
      </c>
    </row>
    <row r="124" spans="1:1" x14ac:dyDescent="0.45">
      <c r="A124">
        <v>182</v>
      </c>
    </row>
    <row r="125" spans="1:1" x14ac:dyDescent="0.45">
      <c r="A125">
        <v>186</v>
      </c>
    </row>
    <row r="126" spans="1:1" x14ac:dyDescent="0.45">
      <c r="A126">
        <v>125</v>
      </c>
    </row>
    <row r="127" spans="1:1" x14ac:dyDescent="0.45">
      <c r="A127">
        <v>181</v>
      </c>
    </row>
    <row r="128" spans="1:1" x14ac:dyDescent="0.45">
      <c r="A128">
        <v>138</v>
      </c>
    </row>
    <row r="129" spans="1:1" x14ac:dyDescent="0.45">
      <c r="A129">
        <v>178</v>
      </c>
    </row>
    <row r="130" spans="1:1" x14ac:dyDescent="0.45">
      <c r="A130">
        <v>195</v>
      </c>
    </row>
    <row r="131" spans="1:1" x14ac:dyDescent="0.45">
      <c r="A131">
        <v>117</v>
      </c>
    </row>
    <row r="132" spans="1:1" x14ac:dyDescent="0.45">
      <c r="A132">
        <v>128</v>
      </c>
    </row>
    <row r="133" spans="1:1" x14ac:dyDescent="0.45">
      <c r="A133">
        <v>140</v>
      </c>
    </row>
    <row r="134" spans="1:1" x14ac:dyDescent="0.45">
      <c r="A134">
        <v>143</v>
      </c>
    </row>
    <row r="135" spans="1:1" x14ac:dyDescent="0.45">
      <c r="A135">
        <v>170</v>
      </c>
    </row>
    <row r="136" spans="1:1" x14ac:dyDescent="0.45">
      <c r="A136">
        <v>109</v>
      </c>
    </row>
    <row r="137" spans="1:1" x14ac:dyDescent="0.45">
      <c r="A137">
        <v>116</v>
      </c>
    </row>
    <row r="138" spans="1:1" x14ac:dyDescent="0.45">
      <c r="A138">
        <v>140</v>
      </c>
    </row>
    <row r="139" spans="1:1" x14ac:dyDescent="0.45">
      <c r="A139">
        <v>159</v>
      </c>
    </row>
    <row r="140" spans="1:1" x14ac:dyDescent="0.45">
      <c r="A140">
        <v>160</v>
      </c>
    </row>
    <row r="141" spans="1:1" x14ac:dyDescent="0.45">
      <c r="A141">
        <v>167</v>
      </c>
    </row>
    <row r="142" spans="1:1" x14ac:dyDescent="0.45">
      <c r="A142">
        <v>117</v>
      </c>
    </row>
    <row r="143" spans="1:1" x14ac:dyDescent="0.45">
      <c r="A143">
        <v>171</v>
      </c>
    </row>
    <row r="144" spans="1:1" x14ac:dyDescent="0.45">
      <c r="A144">
        <v>167</v>
      </c>
    </row>
    <row r="145" spans="1:1" x14ac:dyDescent="0.45">
      <c r="A145">
        <v>145</v>
      </c>
    </row>
    <row r="146" spans="1:1" x14ac:dyDescent="0.45">
      <c r="A146">
        <v>123</v>
      </c>
    </row>
    <row r="147" spans="1:1" x14ac:dyDescent="0.45">
      <c r="A147">
        <v>152</v>
      </c>
    </row>
    <row r="148" spans="1:1" x14ac:dyDescent="0.45">
      <c r="A148">
        <v>124</v>
      </c>
    </row>
    <row r="149" spans="1:1" x14ac:dyDescent="0.45">
      <c r="A149">
        <v>148</v>
      </c>
    </row>
    <row r="150" spans="1:1" x14ac:dyDescent="0.45">
      <c r="A150">
        <v>113</v>
      </c>
    </row>
    <row r="151" spans="1:1" x14ac:dyDescent="0.45">
      <c r="A151">
        <v>185</v>
      </c>
    </row>
    <row r="152" spans="1:1" x14ac:dyDescent="0.45">
      <c r="A152">
        <v>125</v>
      </c>
    </row>
    <row r="153" spans="1:1" x14ac:dyDescent="0.45">
      <c r="A153">
        <v>129</v>
      </c>
    </row>
    <row r="154" spans="1:1" x14ac:dyDescent="0.45">
      <c r="A154">
        <v>190</v>
      </c>
    </row>
    <row r="155" spans="1:1" x14ac:dyDescent="0.45">
      <c r="A155">
        <v>169</v>
      </c>
    </row>
    <row r="156" spans="1:1" x14ac:dyDescent="0.45">
      <c r="A156">
        <v>110</v>
      </c>
    </row>
    <row r="157" spans="1:1" x14ac:dyDescent="0.45">
      <c r="A157">
        <v>107</v>
      </c>
    </row>
    <row r="158" spans="1:1" x14ac:dyDescent="0.45">
      <c r="A158">
        <v>123</v>
      </c>
    </row>
    <row r="159" spans="1:1" x14ac:dyDescent="0.45">
      <c r="A159">
        <v>170</v>
      </c>
    </row>
    <row r="160" spans="1:1" x14ac:dyDescent="0.45">
      <c r="A160">
        <v>124</v>
      </c>
    </row>
    <row r="161" spans="1:1" x14ac:dyDescent="0.45">
      <c r="A161">
        <v>103</v>
      </c>
    </row>
    <row r="162" spans="1:1" x14ac:dyDescent="0.45">
      <c r="A162">
        <v>132</v>
      </c>
    </row>
    <row r="163" spans="1:1" x14ac:dyDescent="0.45">
      <c r="A163">
        <v>115</v>
      </c>
    </row>
    <row r="164" spans="1:1" x14ac:dyDescent="0.45">
      <c r="A164">
        <v>148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65573-AACD-4CB9-B638-B1B363F7134E}">
  <dimension ref="A14:M134"/>
  <sheetViews>
    <sheetView zoomScaleNormal="100" workbookViewId="0">
      <selection activeCell="C62" sqref="C62"/>
    </sheetView>
  </sheetViews>
  <sheetFormatPr defaultRowHeight="14.25" x14ac:dyDescent="0.45"/>
  <cols>
    <col min="6" max="6" width="10.59765625" customWidth="1"/>
  </cols>
  <sheetData>
    <row r="14" spans="1:3" x14ac:dyDescent="0.45">
      <c r="A14" s="1" t="s">
        <v>0</v>
      </c>
      <c r="C14" t="s">
        <v>145</v>
      </c>
    </row>
    <row r="15" spans="1:3" x14ac:dyDescent="0.45">
      <c r="A15">
        <v>196</v>
      </c>
      <c r="C15" t="s">
        <v>146</v>
      </c>
    </row>
    <row r="16" spans="1:3" x14ac:dyDescent="0.45">
      <c r="A16">
        <v>176</v>
      </c>
    </row>
    <row r="17" spans="1:10" x14ac:dyDescent="0.45">
      <c r="A17">
        <v>50</v>
      </c>
      <c r="C17" s="1" t="s">
        <v>147</v>
      </c>
    </row>
    <row r="18" spans="1:10" x14ac:dyDescent="0.45">
      <c r="A18">
        <v>84</v>
      </c>
      <c r="C18" t="s">
        <v>14</v>
      </c>
      <c r="E18">
        <f>COUNT(A15:A134)</f>
        <v>120</v>
      </c>
    </row>
    <row r="19" spans="1:10" x14ac:dyDescent="0.45">
      <c r="A19">
        <v>126</v>
      </c>
      <c r="C19" t="s">
        <v>148</v>
      </c>
      <c r="F19">
        <f>INT(LOG(120,2))+1</f>
        <v>7</v>
      </c>
    </row>
    <row r="20" spans="1:10" x14ac:dyDescent="0.45">
      <c r="A20">
        <v>154</v>
      </c>
      <c r="C20" t="s">
        <v>58</v>
      </c>
      <c r="D20">
        <f>MIN(A15:A134)</f>
        <v>44</v>
      </c>
    </row>
    <row r="21" spans="1:10" x14ac:dyDescent="0.45">
      <c r="A21">
        <v>60</v>
      </c>
      <c r="C21" t="s">
        <v>59</v>
      </c>
      <c r="D21">
        <f>MAX(A15:A134)</f>
        <v>196</v>
      </c>
    </row>
    <row r="22" spans="1:10" x14ac:dyDescent="0.45">
      <c r="A22">
        <v>50</v>
      </c>
    </row>
    <row r="23" spans="1:10" x14ac:dyDescent="0.45">
      <c r="A23">
        <v>90</v>
      </c>
      <c r="C23" t="s">
        <v>149</v>
      </c>
      <c r="E23">
        <f>(D21-D20)/7</f>
        <v>21.714285714285715</v>
      </c>
      <c r="F23" s="52">
        <v>22</v>
      </c>
    </row>
    <row r="24" spans="1:10" x14ac:dyDescent="0.45">
      <c r="A24">
        <v>45</v>
      </c>
    </row>
    <row r="25" spans="1:10" ht="14.65" thickBot="1" x14ac:dyDescent="0.5">
      <c r="A25">
        <v>109</v>
      </c>
      <c r="C25" t="s">
        <v>78</v>
      </c>
      <c r="F25" s="97" t="s">
        <v>10</v>
      </c>
      <c r="G25" s="97"/>
      <c r="H25" s="97"/>
      <c r="I25" s="97"/>
      <c r="J25" s="97"/>
    </row>
    <row r="26" spans="1:10" x14ac:dyDescent="0.45">
      <c r="A26">
        <v>110</v>
      </c>
      <c r="C26">
        <v>43</v>
      </c>
      <c r="F26" s="87" t="s">
        <v>79</v>
      </c>
      <c r="G26" s="88" t="s">
        <v>12</v>
      </c>
      <c r="H26" s="88" t="s">
        <v>13</v>
      </c>
      <c r="I26" s="88" t="s">
        <v>28</v>
      </c>
      <c r="J26" s="89" t="s">
        <v>29</v>
      </c>
    </row>
    <row r="27" spans="1:10" x14ac:dyDescent="0.45">
      <c r="A27">
        <v>171</v>
      </c>
      <c r="C27">
        <f>C26+22</f>
        <v>65</v>
      </c>
      <c r="F27" s="84" t="str">
        <f>CONCATENATE("]",C26,",",C27,"]")</f>
        <v>]43,65]</v>
      </c>
      <c r="G27" s="84">
        <f t="array" ref="G27:G33">FREQUENCY(A15:A134,C27:C33)</f>
        <v>24</v>
      </c>
      <c r="H27" s="90">
        <f>G27/120</f>
        <v>0.2</v>
      </c>
      <c r="I27" s="84">
        <f>G27</f>
        <v>24</v>
      </c>
      <c r="J27" s="91">
        <f>H27</f>
        <v>0.2</v>
      </c>
    </row>
    <row r="28" spans="1:10" x14ac:dyDescent="0.45">
      <c r="A28">
        <v>111</v>
      </c>
      <c r="C28">
        <f t="shared" ref="C28:C32" si="0">C27+22</f>
        <v>87</v>
      </c>
      <c r="F28" s="84" t="str">
        <f t="shared" ref="F28:F33" si="1">CONCATENATE("]",C27,",",C28,"]")</f>
        <v>]65,87]</v>
      </c>
      <c r="G28" s="84">
        <v>13</v>
      </c>
      <c r="H28" s="90">
        <f t="shared" ref="H28:H33" si="2">G28/120</f>
        <v>0.10833333333333334</v>
      </c>
      <c r="I28" s="84">
        <f>I27+G28</f>
        <v>37</v>
      </c>
      <c r="J28" s="91">
        <f>J27+H28</f>
        <v>0.30833333333333335</v>
      </c>
    </row>
    <row r="29" spans="1:10" x14ac:dyDescent="0.45">
      <c r="A29">
        <v>147</v>
      </c>
      <c r="C29">
        <f t="shared" si="0"/>
        <v>109</v>
      </c>
      <c r="F29" s="84" t="str">
        <f t="shared" si="1"/>
        <v>]87,109]</v>
      </c>
      <c r="G29" s="84">
        <v>19</v>
      </c>
      <c r="H29" s="90">
        <f t="shared" si="2"/>
        <v>0.15833333333333333</v>
      </c>
      <c r="I29" s="84">
        <f t="shared" ref="I29:I33" si="3">I28+G29</f>
        <v>56</v>
      </c>
      <c r="J29" s="91">
        <f t="shared" ref="J29:J33" si="4">J28+H29</f>
        <v>0.46666666666666667</v>
      </c>
    </row>
    <row r="30" spans="1:10" x14ac:dyDescent="0.45">
      <c r="A30">
        <v>52</v>
      </c>
      <c r="C30">
        <f t="shared" si="0"/>
        <v>131</v>
      </c>
      <c r="F30" s="84" t="str">
        <f t="shared" si="1"/>
        <v>]109,131]</v>
      </c>
      <c r="G30" s="84">
        <v>24</v>
      </c>
      <c r="H30" s="90">
        <f t="shared" si="2"/>
        <v>0.2</v>
      </c>
      <c r="I30" s="84">
        <f t="shared" si="3"/>
        <v>80</v>
      </c>
      <c r="J30" s="91">
        <f t="shared" si="4"/>
        <v>0.66666666666666674</v>
      </c>
    </row>
    <row r="31" spans="1:10" x14ac:dyDescent="0.45">
      <c r="A31">
        <v>46</v>
      </c>
      <c r="C31">
        <f t="shared" si="0"/>
        <v>153</v>
      </c>
      <c r="F31" s="84" t="str">
        <f t="shared" si="1"/>
        <v>]131,153]</v>
      </c>
      <c r="G31" s="84">
        <v>12</v>
      </c>
      <c r="H31" s="90">
        <f t="shared" si="2"/>
        <v>0.1</v>
      </c>
      <c r="I31" s="84">
        <f t="shared" si="3"/>
        <v>92</v>
      </c>
      <c r="J31" s="91">
        <f t="shared" si="4"/>
        <v>0.76666666666666672</v>
      </c>
    </row>
    <row r="32" spans="1:10" x14ac:dyDescent="0.45">
      <c r="A32">
        <v>136</v>
      </c>
      <c r="C32">
        <f t="shared" si="0"/>
        <v>175</v>
      </c>
      <c r="F32" s="84" t="str">
        <f t="shared" si="1"/>
        <v>]153,175]</v>
      </c>
      <c r="G32" s="84">
        <v>16</v>
      </c>
      <c r="H32" s="90">
        <f t="shared" si="2"/>
        <v>0.13333333333333333</v>
      </c>
      <c r="I32" s="84">
        <f t="shared" si="3"/>
        <v>108</v>
      </c>
      <c r="J32" s="91">
        <f t="shared" si="4"/>
        <v>0.9</v>
      </c>
    </row>
    <row r="33" spans="1:13" x14ac:dyDescent="0.45">
      <c r="A33">
        <v>57</v>
      </c>
      <c r="C33">
        <f>C32+22</f>
        <v>197</v>
      </c>
      <c r="F33" s="84" t="str">
        <f t="shared" si="1"/>
        <v>]175,197]</v>
      </c>
      <c r="G33" s="84">
        <v>12</v>
      </c>
      <c r="H33" s="90">
        <f t="shared" si="2"/>
        <v>0.1</v>
      </c>
      <c r="I33" s="84">
        <f t="shared" si="3"/>
        <v>120</v>
      </c>
      <c r="J33" s="91">
        <f t="shared" si="4"/>
        <v>1</v>
      </c>
    </row>
    <row r="34" spans="1:13" x14ac:dyDescent="0.45">
      <c r="A34">
        <v>129</v>
      </c>
      <c r="F34" t="s">
        <v>16</v>
      </c>
      <c r="G34">
        <f>SUM(G27:G33)</f>
        <v>120</v>
      </c>
    </row>
    <row r="35" spans="1:13" x14ac:dyDescent="0.45">
      <c r="A35">
        <v>48</v>
      </c>
    </row>
    <row r="36" spans="1:13" x14ac:dyDescent="0.45">
      <c r="A36">
        <v>175</v>
      </c>
      <c r="C36" s="1" t="s">
        <v>150</v>
      </c>
    </row>
    <row r="37" spans="1:13" x14ac:dyDescent="0.45">
      <c r="A37">
        <v>97</v>
      </c>
    </row>
    <row r="38" spans="1:13" ht="14.65" thickBot="1" x14ac:dyDescent="0.5">
      <c r="A38">
        <v>63</v>
      </c>
    </row>
    <row r="39" spans="1:13" x14ac:dyDescent="0.45">
      <c r="A39">
        <v>188</v>
      </c>
      <c r="L39" s="35" t="s">
        <v>48</v>
      </c>
      <c r="M39" s="35"/>
    </row>
    <row r="40" spans="1:13" x14ac:dyDescent="0.45">
      <c r="A40">
        <v>58</v>
      </c>
    </row>
    <row r="41" spans="1:13" x14ac:dyDescent="0.45">
      <c r="A41">
        <v>115</v>
      </c>
      <c r="L41" t="s">
        <v>49</v>
      </c>
      <c r="M41">
        <v>113.1</v>
      </c>
    </row>
    <row r="42" spans="1:13" x14ac:dyDescent="0.45">
      <c r="A42">
        <v>75</v>
      </c>
      <c r="L42" t="s">
        <v>50</v>
      </c>
      <c r="M42">
        <v>3.988611237992886</v>
      </c>
    </row>
    <row r="43" spans="1:13" x14ac:dyDescent="0.45">
      <c r="A43">
        <v>173</v>
      </c>
      <c r="L43" t="s">
        <v>51</v>
      </c>
      <c r="M43">
        <v>113.5</v>
      </c>
    </row>
    <row r="44" spans="1:13" x14ac:dyDescent="0.45">
      <c r="A44">
        <v>157</v>
      </c>
      <c r="L44" t="s">
        <v>52</v>
      </c>
      <c r="M44">
        <v>126</v>
      </c>
    </row>
    <row r="45" spans="1:13" x14ac:dyDescent="0.45">
      <c r="A45">
        <v>117</v>
      </c>
      <c r="L45" t="s">
        <v>53</v>
      </c>
      <c r="M45">
        <v>43.693046963346205</v>
      </c>
    </row>
    <row r="46" spans="1:13" x14ac:dyDescent="0.45">
      <c r="A46">
        <v>66</v>
      </c>
      <c r="L46" t="s">
        <v>54</v>
      </c>
      <c r="M46">
        <v>1909.0823529411769</v>
      </c>
    </row>
    <row r="47" spans="1:13" x14ac:dyDescent="0.45">
      <c r="A47">
        <v>54</v>
      </c>
      <c r="L47" t="s">
        <v>55</v>
      </c>
      <c r="M47">
        <v>-1.139822847087067</v>
      </c>
    </row>
    <row r="48" spans="1:13" x14ac:dyDescent="0.45">
      <c r="A48">
        <v>49</v>
      </c>
      <c r="L48" t="s">
        <v>56</v>
      </c>
      <c r="M48">
        <v>6.7677106360784348E-2</v>
      </c>
    </row>
    <row r="49" spans="1:13" x14ac:dyDescent="0.45">
      <c r="A49">
        <v>184</v>
      </c>
      <c r="L49" t="s">
        <v>57</v>
      </c>
      <c r="M49">
        <v>152</v>
      </c>
    </row>
    <row r="50" spans="1:13" x14ac:dyDescent="0.45">
      <c r="A50">
        <v>88</v>
      </c>
      <c r="L50" t="s">
        <v>58</v>
      </c>
      <c r="M50">
        <v>44</v>
      </c>
    </row>
    <row r="51" spans="1:13" x14ac:dyDescent="0.45">
      <c r="A51">
        <v>156</v>
      </c>
      <c r="L51" t="s">
        <v>59</v>
      </c>
      <c r="M51">
        <v>196</v>
      </c>
    </row>
    <row r="52" spans="1:13" x14ac:dyDescent="0.45">
      <c r="A52">
        <v>147</v>
      </c>
      <c r="L52" t="s">
        <v>60</v>
      </c>
      <c r="M52">
        <v>13572</v>
      </c>
    </row>
    <row r="53" spans="1:13" ht="16.149999999999999" thickBot="1" x14ac:dyDescent="0.5">
      <c r="A53">
        <v>177</v>
      </c>
      <c r="C53" s="36" t="s">
        <v>151</v>
      </c>
      <c r="L53" s="34" t="s">
        <v>61</v>
      </c>
      <c r="M53" s="34">
        <v>120</v>
      </c>
    </row>
    <row r="54" spans="1:13" ht="15.75" x14ac:dyDescent="0.45">
      <c r="A54">
        <v>44</v>
      </c>
      <c r="C54" s="36" t="s">
        <v>152</v>
      </c>
    </row>
    <row r="55" spans="1:13" ht="15.75" x14ac:dyDescent="0.45">
      <c r="A55">
        <v>126</v>
      </c>
      <c r="C55" s="36" t="s">
        <v>153</v>
      </c>
    </row>
    <row r="56" spans="1:13" ht="15.75" x14ac:dyDescent="0.45">
      <c r="A56">
        <v>65</v>
      </c>
      <c r="C56" s="36" t="s">
        <v>154</v>
      </c>
    </row>
    <row r="57" spans="1:13" x14ac:dyDescent="0.45">
      <c r="A57">
        <v>140</v>
      </c>
    </row>
    <row r="58" spans="1:13" ht="15.75" x14ac:dyDescent="0.45">
      <c r="A58">
        <v>91</v>
      </c>
      <c r="C58" s="36" t="s">
        <v>158</v>
      </c>
    </row>
    <row r="59" spans="1:13" ht="15.75" x14ac:dyDescent="0.45">
      <c r="A59">
        <v>125</v>
      </c>
      <c r="C59" s="92" t="s">
        <v>155</v>
      </c>
      <c r="D59">
        <f>3.2*60</f>
        <v>192</v>
      </c>
      <c r="E59" t="s">
        <v>156</v>
      </c>
    </row>
    <row r="60" spans="1:13" x14ac:dyDescent="0.45">
      <c r="A60">
        <v>141</v>
      </c>
    </row>
    <row r="61" spans="1:13" x14ac:dyDescent="0.45">
      <c r="A61">
        <v>144</v>
      </c>
      <c r="C61" t="s">
        <v>157</v>
      </c>
    </row>
    <row r="62" spans="1:13" x14ac:dyDescent="0.45">
      <c r="A62">
        <v>46</v>
      </c>
      <c r="C62">
        <f>COUNTIF(A15:A134,"&lt;192")</f>
        <v>119</v>
      </c>
    </row>
    <row r="63" spans="1:13" x14ac:dyDescent="0.45">
      <c r="A63">
        <v>81</v>
      </c>
      <c r="C63" s="6">
        <f>119/120</f>
        <v>0.9916666666666667</v>
      </c>
    </row>
    <row r="64" spans="1:13" x14ac:dyDescent="0.45">
      <c r="A64">
        <v>122</v>
      </c>
    </row>
    <row r="65" spans="1:1" x14ac:dyDescent="0.45">
      <c r="A65">
        <v>169</v>
      </c>
    </row>
    <row r="66" spans="1:1" x14ac:dyDescent="0.45">
      <c r="A66">
        <v>128</v>
      </c>
    </row>
    <row r="67" spans="1:1" x14ac:dyDescent="0.45">
      <c r="A67">
        <v>90</v>
      </c>
    </row>
    <row r="68" spans="1:1" x14ac:dyDescent="0.45">
      <c r="A68">
        <v>126</v>
      </c>
    </row>
    <row r="69" spans="1:1" x14ac:dyDescent="0.45">
      <c r="A69">
        <v>60</v>
      </c>
    </row>
    <row r="70" spans="1:1" x14ac:dyDescent="0.45">
      <c r="A70">
        <v>116</v>
      </c>
    </row>
    <row r="71" spans="1:1" x14ac:dyDescent="0.45">
      <c r="A71">
        <v>119</v>
      </c>
    </row>
    <row r="72" spans="1:1" x14ac:dyDescent="0.45">
      <c r="A72">
        <v>113</v>
      </c>
    </row>
    <row r="73" spans="1:1" x14ac:dyDescent="0.45">
      <c r="A73">
        <v>96</v>
      </c>
    </row>
    <row r="74" spans="1:1" x14ac:dyDescent="0.45">
      <c r="A74">
        <v>124</v>
      </c>
    </row>
    <row r="75" spans="1:1" x14ac:dyDescent="0.45">
      <c r="A75">
        <v>187</v>
      </c>
    </row>
    <row r="76" spans="1:1" x14ac:dyDescent="0.45">
      <c r="A76">
        <v>123</v>
      </c>
    </row>
    <row r="77" spans="1:1" x14ac:dyDescent="0.45">
      <c r="A77">
        <v>159</v>
      </c>
    </row>
    <row r="78" spans="1:1" x14ac:dyDescent="0.45">
      <c r="A78">
        <v>46</v>
      </c>
    </row>
    <row r="79" spans="1:1" x14ac:dyDescent="0.45">
      <c r="A79">
        <v>178</v>
      </c>
    </row>
    <row r="80" spans="1:1" x14ac:dyDescent="0.45">
      <c r="A80">
        <v>91</v>
      </c>
    </row>
    <row r="81" spans="1:1" x14ac:dyDescent="0.45">
      <c r="A81">
        <v>159</v>
      </c>
    </row>
    <row r="82" spans="1:1" x14ac:dyDescent="0.45">
      <c r="A82">
        <v>96</v>
      </c>
    </row>
    <row r="83" spans="1:1" x14ac:dyDescent="0.45">
      <c r="A83">
        <v>97</v>
      </c>
    </row>
    <row r="84" spans="1:1" x14ac:dyDescent="0.45">
      <c r="A84">
        <v>61</v>
      </c>
    </row>
    <row r="85" spans="1:1" x14ac:dyDescent="0.45">
      <c r="A85">
        <v>172</v>
      </c>
    </row>
    <row r="86" spans="1:1" x14ac:dyDescent="0.45">
      <c r="A86">
        <v>71</v>
      </c>
    </row>
    <row r="87" spans="1:1" x14ac:dyDescent="0.45">
      <c r="A87">
        <v>107</v>
      </c>
    </row>
    <row r="88" spans="1:1" x14ac:dyDescent="0.45">
      <c r="A88">
        <v>61</v>
      </c>
    </row>
    <row r="89" spans="1:1" x14ac:dyDescent="0.45">
      <c r="A89">
        <v>177</v>
      </c>
    </row>
    <row r="90" spans="1:1" x14ac:dyDescent="0.45">
      <c r="A90">
        <v>76</v>
      </c>
    </row>
    <row r="91" spans="1:1" x14ac:dyDescent="0.45">
      <c r="A91">
        <v>106</v>
      </c>
    </row>
    <row r="92" spans="1:1" x14ac:dyDescent="0.45">
      <c r="A92">
        <v>148</v>
      </c>
    </row>
    <row r="93" spans="1:1" x14ac:dyDescent="0.45">
      <c r="A93">
        <v>182</v>
      </c>
    </row>
    <row r="94" spans="1:1" x14ac:dyDescent="0.45">
      <c r="A94">
        <v>94</v>
      </c>
    </row>
    <row r="95" spans="1:1" x14ac:dyDescent="0.45">
      <c r="A95">
        <v>92</v>
      </c>
    </row>
    <row r="96" spans="1:1" x14ac:dyDescent="0.45">
      <c r="A96">
        <v>141</v>
      </c>
    </row>
    <row r="97" spans="1:1" x14ac:dyDescent="0.45">
      <c r="A97">
        <v>168</v>
      </c>
    </row>
    <row r="98" spans="1:1" x14ac:dyDescent="0.45">
      <c r="A98">
        <v>67</v>
      </c>
    </row>
    <row r="99" spans="1:1" x14ac:dyDescent="0.45">
      <c r="A99">
        <v>130</v>
      </c>
    </row>
    <row r="100" spans="1:1" x14ac:dyDescent="0.45">
      <c r="A100">
        <v>133</v>
      </c>
    </row>
    <row r="101" spans="1:1" x14ac:dyDescent="0.45">
      <c r="A101">
        <v>72</v>
      </c>
    </row>
    <row r="102" spans="1:1" x14ac:dyDescent="0.45">
      <c r="A102">
        <v>107</v>
      </c>
    </row>
    <row r="103" spans="1:1" x14ac:dyDescent="0.45">
      <c r="A103">
        <v>111</v>
      </c>
    </row>
    <row r="104" spans="1:1" x14ac:dyDescent="0.45">
      <c r="A104">
        <v>69</v>
      </c>
    </row>
    <row r="105" spans="1:1" x14ac:dyDescent="0.45">
      <c r="A105">
        <v>45</v>
      </c>
    </row>
    <row r="106" spans="1:1" x14ac:dyDescent="0.45">
      <c r="A106">
        <v>129</v>
      </c>
    </row>
    <row r="107" spans="1:1" x14ac:dyDescent="0.45">
      <c r="A107">
        <v>58</v>
      </c>
    </row>
    <row r="108" spans="1:1" x14ac:dyDescent="0.45">
      <c r="A108">
        <v>126</v>
      </c>
    </row>
    <row r="109" spans="1:1" x14ac:dyDescent="0.45">
      <c r="A109">
        <v>128</v>
      </c>
    </row>
    <row r="110" spans="1:1" x14ac:dyDescent="0.45">
      <c r="A110">
        <v>114</v>
      </c>
    </row>
    <row r="111" spans="1:1" x14ac:dyDescent="0.45">
      <c r="A111">
        <v>175</v>
      </c>
    </row>
    <row r="112" spans="1:1" x14ac:dyDescent="0.45">
      <c r="A112">
        <v>114</v>
      </c>
    </row>
    <row r="113" spans="1:1" x14ac:dyDescent="0.45">
      <c r="A113">
        <v>99</v>
      </c>
    </row>
    <row r="114" spans="1:1" x14ac:dyDescent="0.45">
      <c r="A114">
        <v>157</v>
      </c>
    </row>
    <row r="115" spans="1:1" x14ac:dyDescent="0.45">
      <c r="A115">
        <v>138</v>
      </c>
    </row>
    <row r="116" spans="1:1" x14ac:dyDescent="0.45">
      <c r="A116">
        <v>153</v>
      </c>
    </row>
    <row r="117" spans="1:1" x14ac:dyDescent="0.45">
      <c r="A117">
        <v>46</v>
      </c>
    </row>
    <row r="118" spans="1:1" x14ac:dyDescent="0.45">
      <c r="A118">
        <v>162</v>
      </c>
    </row>
    <row r="119" spans="1:1" x14ac:dyDescent="0.45">
      <c r="A119">
        <v>92</v>
      </c>
    </row>
    <row r="120" spans="1:1" x14ac:dyDescent="0.45">
      <c r="A120">
        <v>104</v>
      </c>
    </row>
    <row r="121" spans="1:1" x14ac:dyDescent="0.45">
      <c r="A121">
        <v>84</v>
      </c>
    </row>
    <row r="122" spans="1:1" x14ac:dyDescent="0.45">
      <c r="A122">
        <v>51</v>
      </c>
    </row>
    <row r="123" spans="1:1" x14ac:dyDescent="0.45">
      <c r="A123">
        <v>168</v>
      </c>
    </row>
    <row r="124" spans="1:1" x14ac:dyDescent="0.45">
      <c r="A124">
        <v>81</v>
      </c>
    </row>
    <row r="125" spans="1:1" x14ac:dyDescent="0.45">
      <c r="A125">
        <v>179</v>
      </c>
    </row>
    <row r="126" spans="1:1" x14ac:dyDescent="0.45">
      <c r="A126">
        <v>86</v>
      </c>
    </row>
    <row r="127" spans="1:1" x14ac:dyDescent="0.45">
      <c r="A127">
        <v>125</v>
      </c>
    </row>
    <row r="128" spans="1:1" x14ac:dyDescent="0.45">
      <c r="A128">
        <v>57</v>
      </c>
    </row>
    <row r="129" spans="1:1" x14ac:dyDescent="0.45">
      <c r="A129">
        <v>186</v>
      </c>
    </row>
    <row r="130" spans="1:1" x14ac:dyDescent="0.45">
      <c r="A130">
        <v>143</v>
      </c>
    </row>
    <row r="131" spans="1:1" x14ac:dyDescent="0.45">
      <c r="A131">
        <v>171</v>
      </c>
    </row>
    <row r="132" spans="1:1" x14ac:dyDescent="0.45">
      <c r="A132">
        <v>107</v>
      </c>
    </row>
    <row r="133" spans="1:1" x14ac:dyDescent="0.45">
      <c r="A133">
        <v>179</v>
      </c>
    </row>
    <row r="134" spans="1:1" x14ac:dyDescent="0.45">
      <c r="A134">
        <v>82</v>
      </c>
    </row>
  </sheetData>
  <mergeCells count="1">
    <mergeCell ref="F25:J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12</vt:i4>
      </vt:variant>
    </vt:vector>
  </HeadingPairs>
  <TitlesOfParts>
    <vt:vector size="12" baseType="lpstr">
      <vt:lpstr>Folha1</vt:lpstr>
      <vt:lpstr>Folha2</vt:lpstr>
      <vt:lpstr>Folha3</vt:lpstr>
      <vt:lpstr>Folha4</vt:lpstr>
      <vt:lpstr>Folha5</vt:lpstr>
      <vt:lpstr>Folha6</vt:lpstr>
      <vt:lpstr>Folha7</vt:lpstr>
      <vt:lpstr>Folha8</vt:lpstr>
      <vt:lpstr>Folha9</vt:lpstr>
      <vt:lpstr>Folha10</vt:lpstr>
      <vt:lpstr>Folha11</vt:lpstr>
      <vt:lpstr>Folha12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Claúdia  Sebastião</dc:creator>
  <cp:lastModifiedBy>Inês Santos</cp:lastModifiedBy>
  <dcterms:created xsi:type="dcterms:W3CDTF">2025-11-10T22:31:03Z</dcterms:created>
  <dcterms:modified xsi:type="dcterms:W3CDTF">2026-01-08T22:53:00Z</dcterms:modified>
</cp:coreProperties>
</file>