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A\Tecnicos\RSI\Ano1\MQI_Metodos_Quantitativos_para_a_Informatica\MaterialdeApoio\FichasDeExercicios\Fichas de Exercícios-20260104\"/>
    </mc:Choice>
  </mc:AlternateContent>
  <xr:revisionPtr revIDLastSave="0" documentId="13_ncr:1_{45066093-8F78-48DD-A09C-AD211FB70E92}" xr6:coauthVersionLast="47" xr6:coauthVersionMax="47" xr10:uidLastSave="{00000000-0000-0000-0000-000000000000}"/>
  <bookViews>
    <workbookView xWindow="-98" yWindow="-98" windowWidth="24196" windowHeight="14476" firstSheet="1" activeTab="8" xr2:uid="{9A4F1E39-EEB1-4C36-9452-FA95192A7DF8}"/>
  </bookViews>
  <sheets>
    <sheet name="N.º de cafés" sheetId="1" r:id="rId1"/>
    <sheet name="Dureza material" sheetId="2" r:id="rId2"/>
    <sheet name="N.º irmãos" sheetId="3" r:id="rId3"/>
    <sheet name="Parafusos" sheetId="4" r:id="rId4"/>
    <sheet name="Pendisk" sheetId="5" r:id="rId5"/>
    <sheet name="Parafusos 2" sheetId="6" r:id="rId6"/>
    <sheet name="Fruta" sheetId="7" r:id="rId7"/>
    <sheet name="alturas jogadores" sheetId="8" r:id="rId8"/>
    <sheet name="multibanc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9" l="1"/>
  <c r="M10" i="9"/>
  <c r="K19" i="9"/>
  <c r="K20" i="9" s="1"/>
  <c r="K21" i="9" s="1"/>
  <c r="K22" i="9" s="1"/>
  <c r="K23" i="9" s="1"/>
  <c r="K18" i="9"/>
  <c r="K17" i="9"/>
  <c r="J19" i="9"/>
  <c r="J20" i="9" s="1"/>
  <c r="J21" i="9" s="1"/>
  <c r="J22" i="9" s="1"/>
  <c r="J23" i="9" s="1"/>
  <c r="J18" i="9"/>
  <c r="J17" i="9"/>
  <c r="I24" i="9"/>
  <c r="I18" i="9"/>
  <c r="I19" i="9"/>
  <c r="I20" i="9"/>
  <c r="I21" i="9"/>
  <c r="I22" i="9"/>
  <c r="I23" i="9"/>
  <c r="I17" i="9"/>
  <c r="H24" i="9"/>
  <c r="H17" i="9" a="1"/>
  <c r="H17" i="9" s="1"/>
  <c r="G18" i="9"/>
  <c r="G19" i="9"/>
  <c r="G20" i="9"/>
  <c r="G21" i="9"/>
  <c r="G22" i="9"/>
  <c r="G23" i="9"/>
  <c r="G17" i="9"/>
  <c r="D18" i="9"/>
  <c r="D19" i="9"/>
  <c r="D20" i="9" s="1"/>
  <c r="D21" i="9" s="1"/>
  <c r="D22" i="9" s="1"/>
  <c r="D23" i="9" s="1"/>
  <c r="D17" i="9"/>
  <c r="F12" i="9"/>
  <c r="F10" i="9"/>
  <c r="E9" i="9"/>
  <c r="E8" i="9"/>
  <c r="E7" i="9"/>
  <c r="E6" i="9"/>
  <c r="Y6" i="7"/>
  <c r="T5" i="7"/>
  <c r="T4" i="7"/>
  <c r="H8" i="7"/>
  <c r="H9" i="7" s="1"/>
  <c r="H10" i="7" s="1"/>
  <c r="H11" i="7" s="1"/>
  <c r="H12" i="7" s="1"/>
  <c r="H7" i="7"/>
  <c r="H6" i="7"/>
  <c r="G8" i="7"/>
  <c r="G9" i="7" s="1"/>
  <c r="G10" i="7" s="1"/>
  <c r="G11" i="7" s="1"/>
  <c r="G12" i="7" s="1"/>
  <c r="G7" i="7"/>
  <c r="G6" i="7"/>
  <c r="F13" i="7"/>
  <c r="F7" i="7"/>
  <c r="F8" i="7"/>
  <c r="F9" i="7"/>
  <c r="F10" i="7"/>
  <c r="F11" i="7"/>
  <c r="F12" i="7"/>
  <c r="F6" i="7"/>
  <c r="E13" i="7"/>
  <c r="E7" i="7"/>
  <c r="E8" i="7"/>
  <c r="E9" i="7"/>
  <c r="E10" i="7"/>
  <c r="E11" i="7"/>
  <c r="E12" i="7"/>
  <c r="E6" i="7"/>
  <c r="M29" i="6"/>
  <c r="J28" i="6"/>
  <c r="J27" i="6"/>
  <c r="K19" i="6"/>
  <c r="K20" i="6" s="1"/>
  <c r="K21" i="6" s="1"/>
  <c r="K22" i="6" s="1"/>
  <c r="K23" i="6" s="1"/>
  <c r="K24" i="6" s="1"/>
  <c r="K18" i="6"/>
  <c r="K17" i="6"/>
  <c r="J19" i="6"/>
  <c r="J20" i="6" s="1"/>
  <c r="J21" i="6" s="1"/>
  <c r="J22" i="6" s="1"/>
  <c r="J23" i="6" s="1"/>
  <c r="J24" i="6" s="1"/>
  <c r="J18" i="6"/>
  <c r="J17" i="6"/>
  <c r="I25" i="6"/>
  <c r="H25" i="6"/>
  <c r="I18" i="6"/>
  <c r="I19" i="6"/>
  <c r="I20" i="6"/>
  <c r="I21" i="6"/>
  <c r="I22" i="6"/>
  <c r="I23" i="6"/>
  <c r="I24" i="6"/>
  <c r="I17" i="6"/>
  <c r="H17" i="6" a="1"/>
  <c r="H17" i="6" s="1"/>
  <c r="G18" i="6"/>
  <c r="G19" i="6"/>
  <c r="G20" i="6"/>
  <c r="G21" i="6"/>
  <c r="G22" i="6"/>
  <c r="G23" i="6"/>
  <c r="G24" i="6"/>
  <c r="G17" i="6"/>
  <c r="D18" i="6"/>
  <c r="D19" i="6" s="1"/>
  <c r="D20" i="6" s="1"/>
  <c r="D21" i="6" s="1"/>
  <c r="D22" i="6" s="1"/>
  <c r="D23" i="6" s="1"/>
  <c r="D24" i="6" s="1"/>
  <c r="D17" i="6"/>
  <c r="F12" i="6"/>
  <c r="F10" i="6"/>
  <c r="E9" i="6"/>
  <c r="E8" i="6"/>
  <c r="E7" i="6"/>
  <c r="E6" i="6"/>
  <c r="P11" i="5"/>
  <c r="O11" i="5"/>
  <c r="P8" i="5"/>
  <c r="O8" i="5"/>
  <c r="H8" i="5"/>
  <c r="H9" i="5" s="1"/>
  <c r="H10" i="5" s="1"/>
  <c r="H11" i="5" s="1"/>
  <c r="H7" i="5"/>
  <c r="H6" i="5"/>
  <c r="G8" i="5"/>
  <c r="G9" i="5" s="1"/>
  <c r="G10" i="5" s="1"/>
  <c r="G11" i="5" s="1"/>
  <c r="G7" i="5"/>
  <c r="G6" i="5"/>
  <c r="F12" i="5"/>
  <c r="E12" i="5"/>
  <c r="F7" i="5"/>
  <c r="F8" i="5"/>
  <c r="F9" i="5"/>
  <c r="F10" i="5"/>
  <c r="F11" i="5"/>
  <c r="F6" i="5"/>
  <c r="E7" i="5"/>
  <c r="E8" i="5"/>
  <c r="E9" i="5"/>
  <c r="E10" i="5"/>
  <c r="E11" i="5"/>
  <c r="E6" i="5"/>
  <c r="I2" i="5"/>
  <c r="K18" i="4"/>
  <c r="K19" i="4" s="1"/>
  <c r="K20" i="4" s="1"/>
  <c r="K21" i="4" s="1"/>
  <c r="K17" i="4"/>
  <c r="K16" i="4"/>
  <c r="J18" i="4"/>
  <c r="J19" i="4"/>
  <c r="J20" i="4" s="1"/>
  <c r="J21" i="4" s="1"/>
  <c r="J17" i="4"/>
  <c r="J16" i="4"/>
  <c r="I22" i="4"/>
  <c r="I17" i="4"/>
  <c r="I18" i="4"/>
  <c r="I19" i="4"/>
  <c r="I20" i="4"/>
  <c r="I21" i="4"/>
  <c r="I16" i="4"/>
  <c r="H22" i="4"/>
  <c r="H16" i="4" a="1"/>
  <c r="H19" i="4" s="1"/>
  <c r="G17" i="4"/>
  <c r="G18" i="4"/>
  <c r="G19" i="4"/>
  <c r="G20" i="4"/>
  <c r="G21" i="4"/>
  <c r="G16" i="4"/>
  <c r="D17" i="4"/>
  <c r="D18" i="4" s="1"/>
  <c r="D19" i="4" s="1"/>
  <c r="D20" i="4" s="1"/>
  <c r="D21" i="4" s="1"/>
  <c r="D16" i="4"/>
  <c r="F11" i="4"/>
  <c r="F10" i="4"/>
  <c r="E9" i="4"/>
  <c r="E8" i="4"/>
  <c r="E7" i="4"/>
  <c r="E6" i="4"/>
  <c r="H34" i="3"/>
  <c r="G34" i="3"/>
  <c r="H8" i="3"/>
  <c r="H9" i="3" s="1"/>
  <c r="H7" i="3"/>
  <c r="H6" i="3"/>
  <c r="G8" i="3"/>
  <c r="G9" i="3" s="1"/>
  <c r="G7" i="3"/>
  <c r="G6" i="3"/>
  <c r="F10" i="3"/>
  <c r="F7" i="3"/>
  <c r="F8" i="3"/>
  <c r="F9" i="3"/>
  <c r="F6" i="3"/>
  <c r="J3" i="3"/>
  <c r="E10" i="3"/>
  <c r="E7" i="3"/>
  <c r="E8" i="3"/>
  <c r="E9" i="3"/>
  <c r="E6" i="3"/>
  <c r="G17" i="2"/>
  <c r="K16" i="2"/>
  <c r="K17" i="2" s="1"/>
  <c r="K18" i="2" s="1"/>
  <c r="K19" i="2" s="1"/>
  <c r="K20" i="2" s="1"/>
  <c r="K15" i="2"/>
  <c r="K14" i="2"/>
  <c r="J16" i="2"/>
  <c r="J17" i="2"/>
  <c r="J18" i="2" s="1"/>
  <c r="J19" i="2" s="1"/>
  <c r="J20" i="2" s="1"/>
  <c r="J15" i="2"/>
  <c r="J14" i="2"/>
  <c r="I21" i="2"/>
  <c r="I15" i="2"/>
  <c r="I16" i="2"/>
  <c r="I17" i="2"/>
  <c r="I18" i="2"/>
  <c r="I19" i="2"/>
  <c r="I20" i="2"/>
  <c r="I14" i="2"/>
  <c r="H21" i="2"/>
  <c r="H14" i="2" a="1"/>
  <c r="H14" i="2" s="1"/>
  <c r="G15" i="2"/>
  <c r="G16" i="2"/>
  <c r="G18" i="2"/>
  <c r="G19" i="2"/>
  <c r="G20" i="2"/>
  <c r="G14" i="2"/>
  <c r="D15" i="2"/>
  <c r="D16" i="2" s="1"/>
  <c r="D17" i="2" s="1"/>
  <c r="D18" i="2" s="1"/>
  <c r="D19" i="2" s="1"/>
  <c r="D20" i="2" s="1"/>
  <c r="D14" i="2"/>
  <c r="F9" i="2"/>
  <c r="F8" i="2"/>
  <c r="E7" i="2"/>
  <c r="E6" i="2"/>
  <c r="E5" i="2"/>
  <c r="E4" i="2"/>
  <c r="I36" i="1"/>
  <c r="H36" i="1"/>
  <c r="M5" i="1"/>
  <c r="M6" i="1"/>
  <c r="M7" i="1"/>
  <c r="M8" i="1"/>
  <c r="M9" i="1"/>
  <c r="M10" i="1"/>
  <c r="M4" i="1"/>
  <c r="K6" i="1"/>
  <c r="K7" i="1"/>
  <c r="K8" i="1"/>
  <c r="K9" i="1"/>
  <c r="K10" i="1"/>
  <c r="K5" i="1"/>
  <c r="K4" i="1"/>
  <c r="J6" i="1"/>
  <c r="J7" i="1"/>
  <c r="J8" i="1"/>
  <c r="J9" i="1" s="1"/>
  <c r="J10" i="1" s="1"/>
  <c r="J5" i="1"/>
  <c r="J4" i="1"/>
  <c r="I5" i="1"/>
  <c r="I6" i="1"/>
  <c r="I7" i="1"/>
  <c r="I8" i="1"/>
  <c r="I9" i="1"/>
  <c r="I10" i="1"/>
  <c r="I4" i="1"/>
  <c r="H11" i="1"/>
  <c r="H4" i="1" a="1"/>
  <c r="H4" i="1" s="1"/>
  <c r="E3" i="1"/>
  <c r="H22" i="9" l="1"/>
  <c r="H21" i="9"/>
  <c r="H20" i="9"/>
  <c r="H19" i="9"/>
  <c r="H18" i="9"/>
  <c r="H23" i="9"/>
  <c r="H20" i="6"/>
  <c r="H19" i="6"/>
  <c r="H22" i="6"/>
  <c r="H18" i="6"/>
  <c r="H24" i="6"/>
  <c r="H23" i="6"/>
  <c r="H21" i="6"/>
  <c r="H18" i="4"/>
  <c r="H16" i="4"/>
  <c r="H21" i="4"/>
  <c r="H20" i="4"/>
  <c r="H17" i="4"/>
  <c r="H19" i="2"/>
  <c r="H20" i="2"/>
  <c r="H18" i="2"/>
  <c r="H15" i="2"/>
  <c r="H17" i="2"/>
  <c r="H16" i="2"/>
  <c r="H10" i="1"/>
  <c r="H9" i="1"/>
  <c r="H8" i="1"/>
  <c r="H7" i="1"/>
  <c r="H6" i="1"/>
  <c r="H5" i="1"/>
  <c r="E6" i="1" l="1"/>
</calcChain>
</file>

<file path=xl/sharedStrings.xml><?xml version="1.0" encoding="utf-8"?>
<sst xmlns="http://schemas.openxmlformats.org/spreadsheetml/2006/main" count="260" uniqueCount="96">
  <si>
    <t>1.</t>
  </si>
  <si>
    <t>a)</t>
  </si>
  <si>
    <t>TABELA DE FREQUÊNCIAS</t>
  </si>
  <si>
    <t>dimensão:</t>
  </si>
  <si>
    <t>Dimensão:</t>
  </si>
  <si>
    <t>xi</t>
  </si>
  <si>
    <t>ni</t>
  </si>
  <si>
    <t>fi</t>
  </si>
  <si>
    <t>Ni</t>
  </si>
  <si>
    <t>Fi</t>
  </si>
  <si>
    <t>Total</t>
  </si>
  <si>
    <t>b) Gráfico circular com as frequências relativas simples:</t>
  </si>
  <si>
    <t>c)</t>
  </si>
  <si>
    <t>c) Gráfico de barras de frequências absolutas acumuladas:</t>
  </si>
  <si>
    <t>d)</t>
  </si>
  <si>
    <t>Coluna1</t>
  </si>
  <si>
    <t>Média</t>
  </si>
  <si>
    <t>Erro-padrão</t>
  </si>
  <si>
    <t>Mediana</t>
  </si>
  <si>
    <t>Moda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</si>
  <si>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</si>
  <si>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</si>
  <si>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</si>
  <si>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</si>
  <si>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</si>
  <si>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</si>
  <si>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</si>
  <si>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</si>
  <si>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</si>
  <si>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i. a média (1,875) e a moda (1) da amostra.</t>
  </si>
  <si>
    <t>ii. a variância (1,934) e o desvio padrão (1,391) da amostra.</t>
  </si>
  <si>
    <t>iii. a mediana da amostra e interprete o valor obtido: 2 (do grupo dos 50% que bebem menos cafés, estes bebem no máximo 2 cafés por dia).</t>
  </si>
  <si>
    <t>iv. a percentagem de alunos que bebe mais do que 2 cafés num dia: 30%.</t>
  </si>
  <si>
    <t>2.</t>
  </si>
  <si>
    <t>a) Dureza de um material plástico</t>
  </si>
  <si>
    <t>Variável quantitativa contínua.</t>
  </si>
  <si>
    <t>Máximo:</t>
  </si>
  <si>
    <t>Mínimo:</t>
  </si>
  <si>
    <t>Amplitude:</t>
  </si>
  <si>
    <t>Nº de classes:</t>
  </si>
  <si>
    <t>Amplitude das classes:</t>
  </si>
  <si>
    <t>Limites das classes:</t>
  </si>
  <si>
    <t>Regra de Sturges</t>
  </si>
  <si>
    <t>(vou usar 0,3)</t>
  </si>
  <si>
    <t>Classes</t>
  </si>
  <si>
    <t>b) Histograma de frequências absolutas:</t>
  </si>
  <si>
    <t>i. a dureza média da amostra: 4,75.</t>
  </si>
  <si>
    <t>ii. a amplitude (1,85) e o desvio padrão (0,409) da amostra.</t>
  </si>
  <si>
    <t>3.</t>
  </si>
  <si>
    <t>a) Nº de irmãos dos alunos de uma turma de um dos cursos da ESTGA</t>
  </si>
  <si>
    <t>Variável quantitativa discreta.</t>
  </si>
  <si>
    <t xml:space="preserve">b) </t>
  </si>
  <si>
    <t>b) Gráfico de barras de frequências relativas:</t>
  </si>
  <si>
    <t xml:space="preserve">c) </t>
  </si>
  <si>
    <t>i. a média (1,2) e a moda (1) da amostra.</t>
  </si>
  <si>
    <t>iii. a mediana da amostra e interprete o valor obtido: 1 (do grupo dos 50% de alunos que têm menos irmãos, estes têm no máximo 1 irmão).</t>
  </si>
  <si>
    <t>ii. a variância (0,9664) e o desvio padrão (0,9831) da amostra.</t>
  </si>
  <si>
    <t>iv. a percentagem de alunos que têm menos de 2 irmãos: 64%.</t>
  </si>
  <si>
    <t>4.</t>
  </si>
  <si>
    <t>a) Comprimento dos parafusos numa caixa.</t>
  </si>
  <si>
    <t>Regra de Sturges:</t>
  </si>
  <si>
    <t>Nº de Classes:</t>
  </si>
  <si>
    <t>vou usar 0,16</t>
  </si>
  <si>
    <t>b) Histograma de frequências relativas:</t>
  </si>
  <si>
    <t>i. o comprimento médio dos parafusos: 3,02.</t>
  </si>
  <si>
    <t>ii. a amplitude (0,92) e o desvio padrão (0,209) da amostra.</t>
  </si>
  <si>
    <t>5.</t>
  </si>
  <si>
    <t>a) Nº de pendisks de alunos da ESTGA.</t>
  </si>
  <si>
    <t xml:space="preserve">Dimensão: </t>
  </si>
  <si>
    <t>v. a percentagem de alunos que têm no máximo 1 pendisk:</t>
  </si>
  <si>
    <t>iii. a moda da amostra: 0.</t>
  </si>
  <si>
    <t>i. a média (1,253) e a mediana (1) da amostra.</t>
  </si>
  <si>
    <t>ii. a variância (1,895) e o desvio padrão (1,377) da amostra.</t>
  </si>
  <si>
    <t>iv. a percentagem de alunos que têm pelo menos 2 pendisks: 37,3%.</t>
  </si>
  <si>
    <t>OU (100% - (42,67%+20%))</t>
  </si>
  <si>
    <t>6.</t>
  </si>
  <si>
    <t>a) Comprimento de uma amostra de 140 parafusos, em cm.</t>
  </si>
  <si>
    <t>vou usar 0,25</t>
  </si>
  <si>
    <t xml:space="preserve">i. O comprimento mais frequente dos parafusos é: </t>
  </si>
  <si>
    <t>ii. A variância dos comprimentos dos parafusos é:</t>
  </si>
  <si>
    <t>iii. O comprimento máximo de um parafuso que pertence ao grupo dos 50% mais pequenos é:</t>
  </si>
  <si>
    <t>7.</t>
  </si>
  <si>
    <t>a) Quantidade de peças de fruta comidas diariamente, por 120 pessoas.</t>
  </si>
  <si>
    <t>b) Gráfico de barras utilizando as frequências relativas:</t>
  </si>
  <si>
    <t xml:space="preserve"> i. O número médio de peças de fruta consumido diariamente é</t>
  </si>
  <si>
    <t>ii. O valor do desvio padrão, com aproximação às centésimas é</t>
  </si>
  <si>
    <t>iii. O número máximo de peças de fruta consumido diariamente pelo grupo dos 50% que menos peças de fruta consome é</t>
  </si>
  <si>
    <t>9.</t>
  </si>
  <si>
    <t>a) Tempo, em minutos, entre duas chegadas consecutivas de pessoas a uma caixa de multibanco.</t>
  </si>
  <si>
    <t>Amplitude das Classes:</t>
  </si>
  <si>
    <t>vou usar 1,12</t>
  </si>
  <si>
    <t>b) Histograma:</t>
  </si>
  <si>
    <t>i. O tempo de chegada entre duas pessoas consecutivas a uma caixa multibanco varia entre 0,16 e 7,99 minutos.</t>
  </si>
  <si>
    <t>ii. O tempo médio de chegada é 3,13, sendo o mais frequente 2,71.</t>
  </si>
  <si>
    <t>iii. A amplitude dos valores da amostra é 7,83 e o desvio padrão é 2,015.</t>
  </si>
  <si>
    <t>iv. A percentagem de tempos inferiores a 2 minutos é de 30%.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</si>
</sst>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0" fontId="2" fillId="0" borderId="0" xfId="0" applyFont="1"/>
    <xf numFmtId="9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Nº de cafés bebidos num</a:t>
            </a:r>
            <a:r>
              <a:rPr lang="pt-PT" baseline="0"/>
              <a:t> dia pelos alunos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'N.º de cafés'!$G$4:$G$10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'N.º de cafés'!$I$4:$I$10</c:f>
              <c:numCache>
                <c:formatCode>0.0%</c:formatCode>
                <c:ptCount val="7"/>
                <c:pt idx="0">
                  <c:v>0.15</c:v>
                </c:pt>
                <c:pt idx="1">
                  <c:v>0.3</c:v>
                </c:pt>
                <c:pt idx="2">
                  <c:v>0.25</c:v>
                </c:pt>
                <c:pt idx="3">
                  <c:v>0.2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2-4D75-AA03-2685574117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cafés bebidos num dia pelos alunos da ESTGA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'N.º de cafés'!$G$4:$G$10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'N.º de cafés'!$J$4:$J$10</c:f>
              <c:numCache>
                <c:formatCode>General</c:formatCode>
                <c:ptCount val="7"/>
                <c:pt idx="0">
                  <c:v>12</c:v>
                </c:pt>
                <c:pt idx="1">
                  <c:v>36</c:v>
                </c:pt>
                <c:pt idx="2">
                  <c:v>56</c:v>
                </c:pt>
                <c:pt idx="3">
                  <c:v>72</c:v>
                </c:pt>
                <c:pt idx="4">
                  <c:v>76</c:v>
                </c:pt>
                <c:pt idx="5">
                  <c:v>78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7-43CD-97E3-35D5336719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9818591"/>
        <c:axId val="319815231"/>
      </c:barChart>
      <c:catAx>
        <c:axId val="319818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9815231"/>
        <c:crosses val="autoZero"/>
        <c:auto val="1"/>
        <c:lblAlgn val="ctr"/>
        <c:lblOffset val="100"/>
        <c:noMultiLvlLbl val="0"/>
      </c:catAx>
      <c:valAx>
        <c:axId val="31981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981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'Dureza material'!$G$14:$G$20</c:f>
              <c:strCache>
                <c:ptCount val="7"/>
                <c:pt idx="0">
                  <c:v>]4;4,3]</c:v>
                </c:pt>
                <c:pt idx="1">
                  <c:v>]4,3;4,6]</c:v>
                </c:pt>
                <c:pt idx="2">
                  <c:v>]4,6;4,9]</c:v>
                </c:pt>
                <c:pt idx="3">
                  <c:v>]4,9;5,2]</c:v>
                </c:pt>
                <c:pt idx="4">
                  <c:v>]5,2;5,5]</c:v>
                </c:pt>
                <c:pt idx="5">
                  <c:v>]5,5;5,8]</c:v>
                </c:pt>
                <c:pt idx="6">
                  <c:v>]5,8;6,1]</c:v>
                </c:pt>
              </c:strCache>
            </c:strRef>
          </c:cat>
          <c:val>
            <c:numRef>
              <c:f>'Dureza material'!$H$14:$H$20</c:f>
              <c:numCache>
                <c:formatCode>General</c:formatCode>
                <c:ptCount val="7"/>
                <c:pt idx="0">
                  <c:v>23</c:v>
                </c:pt>
                <c:pt idx="1">
                  <c:v>22</c:v>
                </c:pt>
                <c:pt idx="2">
                  <c:v>25</c:v>
                </c:pt>
                <c:pt idx="3">
                  <c:v>38</c:v>
                </c:pt>
                <c:pt idx="4">
                  <c:v>10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A-4F5D-939C-E30F86C47F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046329391"/>
        <c:axId val="1046329871"/>
      </c:barChart>
      <c:catAx>
        <c:axId val="10463293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6329871"/>
        <c:crosses val="autoZero"/>
        <c:auto val="1"/>
        <c:lblAlgn val="ctr"/>
        <c:lblOffset val="100"/>
        <c:noMultiLvlLbl val="0"/>
      </c:catAx>
      <c:valAx>
        <c:axId val="104632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632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'N.º irmãos'!$D$6:$D$9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'N.º irmãos'!$F$6:$F$9</c:f>
              <c:numCache>
                <c:formatCode>0%</c:formatCode>
                <c:ptCount val="4"/>
                <c:pt idx="0">
                  <c:v>0.28000000000000003</c:v>
                </c:pt>
                <c:pt idx="1">
                  <c:v>0.36</c:v>
                </c:pt>
                <c:pt idx="2">
                  <c:v>0.24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C-4EF0-B520-526F6A7262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5378591"/>
        <c:axId val="655381471"/>
      </c:barChart>
      <c:catAx>
        <c:axId val="6553785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5381471"/>
        <c:crosses val="autoZero"/>
        <c:auto val="1"/>
        <c:lblAlgn val="ctr"/>
        <c:lblOffset val="100"/>
        <c:noMultiLvlLbl val="0"/>
      </c:catAx>
      <c:valAx>
        <c:axId val="65538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537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Parafusos!$G$16:$G$21</c:f>
              <c:strCache>
                <c:ptCount val="6"/>
                <c:pt idx="0">
                  <c:v>]2,55;2,71]</c:v>
                </c:pt>
                <c:pt idx="1">
                  <c:v>]2,71;2,87]</c:v>
                </c:pt>
                <c:pt idx="2">
                  <c:v>]2,87;3,03]</c:v>
                </c:pt>
                <c:pt idx="3">
                  <c:v>]3,03;3,19]</c:v>
                </c:pt>
                <c:pt idx="4">
                  <c:v>]3,19;3,35]</c:v>
                </c:pt>
                <c:pt idx="5">
                  <c:v>]3,35;3,51]</c:v>
                </c:pt>
              </c:strCache>
            </c:strRef>
          </c:cat>
          <c:val>
            <c:numRef>
              <c:f>Parafusos!$I$16:$I$21</c:f>
              <c:numCache>
                <c:formatCode>0%</c:formatCode>
                <c:ptCount val="6"/>
                <c:pt idx="0">
                  <c:v>0.06</c:v>
                </c:pt>
                <c:pt idx="1">
                  <c:v>0.16</c:v>
                </c:pt>
                <c:pt idx="2">
                  <c:v>0.38</c:v>
                </c:pt>
                <c:pt idx="3">
                  <c:v>0.16</c:v>
                </c:pt>
                <c:pt idx="4">
                  <c:v>0.18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C-431A-AA14-294296EA57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674950527"/>
        <c:axId val="674947167"/>
      </c:barChart>
      <c:catAx>
        <c:axId val="6749505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4947167"/>
        <c:crosses val="autoZero"/>
        <c:auto val="1"/>
        <c:lblAlgn val="ctr"/>
        <c:lblOffset val="100"/>
        <c:noMultiLvlLbl val="0"/>
      </c:catAx>
      <c:valAx>
        <c:axId val="67494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7495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Pendisk!$D$6:$D$11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Pendisk!$F$6:$F$11</c:f>
              <c:numCache>
                <c:formatCode>0.00%</c:formatCode>
                <c:ptCount val="6"/>
                <c:pt idx="0">
                  <c:v>0.42666666666666669</c:v>
                </c:pt>
                <c:pt idx="1">
                  <c:v>0.2</c:v>
                </c:pt>
                <c:pt idx="2">
                  <c:v>0.16666666666666666</c:v>
                </c:pt>
                <c:pt idx="3">
                  <c:v>0.12</c:v>
                </c:pt>
                <c:pt idx="4">
                  <c:v>7.3333333333333334E-2</c:v>
                </c:pt>
                <c:pt idx="5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D-4B9D-9314-5C97486165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9347423"/>
        <c:axId val="1659348383"/>
      </c:barChart>
      <c:catAx>
        <c:axId val="16593474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59348383"/>
        <c:crosses val="autoZero"/>
        <c:auto val="1"/>
        <c:lblAlgn val="ctr"/>
        <c:lblOffset val="100"/>
        <c:noMultiLvlLbl val="0"/>
      </c:catAx>
      <c:valAx>
        <c:axId val="16593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5934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Fruta!$D$6:$D$12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Fruta!$F$6:$F$12</c:f>
              <c:numCache>
                <c:formatCode>0.00%</c:formatCode>
                <c:ptCount val="7"/>
                <c:pt idx="0">
                  <c:v>0.14166666666666666</c:v>
                </c:pt>
                <c:pt idx="1">
                  <c:v>0.15</c:v>
                </c:pt>
                <c:pt idx="2">
                  <c:v>0.15833333333333333</c:v>
                </c:pt>
                <c:pt idx="3">
                  <c:v>0.15833333333333333</c:v>
                </c:pt>
                <c:pt idx="4">
                  <c:v>0.11666666666666667</c:v>
                </c:pt>
                <c:pt idx="5">
                  <c:v>0.125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7CA-97E2-BE2F0E8BDA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7959951"/>
        <c:axId val="1047957551"/>
      </c:barChart>
      <c:catAx>
        <c:axId val="10479599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7957551"/>
        <c:crosses val="autoZero"/>
        <c:auto val="1"/>
        <c:lblAlgn val="ctr"/>
        <c:lblOffset val="100"/>
        <c:noMultiLvlLbl val="0"/>
      </c:catAx>
      <c:valAx>
        <c:axId val="10479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795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multibanco!$G$17:$G$23</c:f>
              <c:strCache>
                <c:ptCount val="7"/>
                <c:pt idx="0">
                  <c:v>]0,15;1,27]</c:v>
                </c:pt>
                <c:pt idx="1">
                  <c:v>]1,27;2,39]</c:v>
                </c:pt>
                <c:pt idx="2">
                  <c:v>]2,39;3,51]</c:v>
                </c:pt>
                <c:pt idx="3">
                  <c:v>]3,51;4,63]</c:v>
                </c:pt>
                <c:pt idx="4">
                  <c:v>]4,63;5,75]</c:v>
                </c:pt>
                <c:pt idx="5">
                  <c:v>]5,75;6,87]</c:v>
                </c:pt>
                <c:pt idx="6">
                  <c:v>]6,87;7,99]</c:v>
                </c:pt>
              </c:strCache>
            </c:strRef>
          </c:cat>
          <c:val>
            <c:numRef>
              <c:f>multibanco!$H$17:$H$23</c:f>
              <c:numCache>
                <c:formatCode>General</c:formatCode>
                <c:ptCount val="7"/>
                <c:pt idx="0">
                  <c:v>23</c:v>
                </c:pt>
                <c:pt idx="1">
                  <c:v>28</c:v>
                </c:pt>
                <c:pt idx="2">
                  <c:v>26</c:v>
                </c:pt>
                <c:pt idx="3">
                  <c:v>16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0-4B85-B7BE-A5315D999D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311104687"/>
        <c:axId val="311106127"/>
      </c:barChart>
      <c:catAx>
        <c:axId val="3111046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1106127"/>
        <c:crosses val="autoZero"/>
        <c:auto val="1"/>
        <c:lblAlgn val="ctr"/>
        <c:lblOffset val="100"/>
        <c:noMultiLvlLbl val="0"/>
      </c:catAx>
      <c:valAx>
        <c:axId val="3111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110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11905</xdr:colOff>
      <xdr:row>14</xdr:row>
      <xdr:rowOff>19050</xdr:rowOff>
    </xdr:from>
    <xdr:to>
      <xdr:col>11</xdr:col>
      <xdr:colOff>50005</xdr:colOff>
      <xdr:row>29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3D61C2-6D96-E240-C589-674648C72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40481</xdr:colOff>
      <xdr:row>14</xdr:row>
      <xdr:rowOff>42862</xdr:rowOff>
    </xdr:from>
    <xdr:to>
      <xdr:col>19</xdr:col>
      <xdr:colOff>78581</xdr:colOff>
      <xdr:row>29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5B7B73-0B76-AF5D-561B-334973C5C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54768</xdr:colOff>
      <xdr:row>23</xdr:row>
      <xdr:rowOff>23812</xdr:rowOff>
    </xdr:from>
    <xdr:to>
      <xdr:col>10</xdr:col>
      <xdr:colOff>92868</xdr:colOff>
      <xdr:row>38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3FFE9C-F4BB-4816-82A3-20EE41337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21430</xdr:colOff>
      <xdr:row>12</xdr:row>
      <xdr:rowOff>28575</xdr:rowOff>
    </xdr:from>
    <xdr:to>
      <xdr:col>10</xdr:col>
      <xdr:colOff>59530</xdr:colOff>
      <xdr:row>27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86545D-573D-F54C-12A9-878138F3D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</xdr:colOff>
      <xdr:row>24</xdr:row>
      <xdr:rowOff>28575</xdr:rowOff>
    </xdr:from>
    <xdr:to>
      <xdr:col>10</xdr:col>
      <xdr:colOff>69056</xdr:colOff>
      <xdr:row>39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B5A029-01DD-C03B-63D7-39F858AC4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</xdr:colOff>
      <xdr:row>14</xdr:row>
      <xdr:rowOff>19050</xdr:rowOff>
    </xdr:from>
    <xdr:to>
      <xdr:col>10</xdr:col>
      <xdr:colOff>54768</xdr:colOff>
      <xdr:row>29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72EDD7-0899-9E72-BBA6-54133867E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</xdr:colOff>
      <xdr:row>15</xdr:row>
      <xdr:rowOff>66675</xdr:rowOff>
    </xdr:from>
    <xdr:to>
      <xdr:col>10</xdr:col>
      <xdr:colOff>64293</xdr:colOff>
      <xdr:row>30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94AA6E-1D37-E8F5-6377-870036FED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21431</xdr:colOff>
      <xdr:row>26</xdr:row>
      <xdr:rowOff>9525</xdr:rowOff>
    </xdr:from>
    <xdr:to>
      <xdr:col>10</xdr:col>
      <xdr:colOff>59531</xdr:colOff>
      <xdr:row>41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EFE9CB-B6B5-4E7E-A6BA-6FF5AD37C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828F-BE65-48C7-A7F5-4DEA1847F700}">
  <dimension ref="A1:M80"/>
  <sheetViews>
    <sheetView topLeftCell="A15" zoomScaleNormal="100" workbookViewId="0">
      <selection activeCell="J37" sqref="J37"/>
    </sheetView>
  </sheetViews>
  <sheetFormatPr defaultRowHeight="14.25" x14ac:dyDescent="0.45"/>
  <sheetData>
    <row r="1" spans="1:13" x14ac:dyDescent="0.45">
      <c r="A1">
        <v>2</v>
      </c>
      <c r="D1" t="s">
        <v>0</v>
      </c>
      <c r="E1" t="s">
        <v>1</v>
      </c>
    </row>
    <row r="2" spans="1:13" x14ac:dyDescent="0.45">
      <c r="A2">
        <v>1</v>
      </c>
      <c r="G2" t="s">
        <v>2</v>
      </c>
    </row>
    <row r="3" spans="1:13" x14ac:dyDescent="0.45">
      <c r="A3">
        <v>4</v>
      </c>
      <c r="D3" t="s">
        <v>4</v>
      </c>
      <c r="E3">
        <f>COUNT(A1:A80)</f>
        <v>80</v>
      </c>
      <c r="G3" t="s">
        <v>5</v>
      </c>
      <c r="H3" t="s">
        <v>6</v>
      </c>
      <c r="I3" t="s">
        <v>7</v>
      </c>
      <c r="J3" t="s">
        <v>8</v>
      </c>
      <c r="K3" t="s">
        <v>9</v>
      </c>
    </row>
    <row r="4" spans="1:13" x14ac:dyDescent="0.45">
      <c r="A4">
        <v>3</v>
      </c>
      <c r="G4">
        <v>0</v>
      </c>
      <c r="H4">
        <f t="array" ref="H4:H10">FREQUENCY(A1:A80,G4:G10)</f>
        <v>12</v>
      </c>
      <c r="I4" s="6">
        <f>H4/80</f>
        <v>0.15</v>
      </c>
      <c r="J4">
        <f>H4</f>
        <v>12</v>
      </c>
      <c r="K4" s="9">
        <f>I4</f>
        <v>0.15</v>
      </c>
      <c r="M4">
        <f>COUNTIF($A$1:$A$80,G4)</f>
        <v>12</v>
      </c>
    </row>
    <row r="5" spans="1:13" x14ac:dyDescent="0.45">
      <c r="A5">
        <v>1</v>
      </c>
      <c r="G5">
        <v>1</v>
      </c>
      <c r="H5">
        <v>24</v>
      </c>
      <c r="I5" s="6">
        <f t="shared" ref="I5:I10" si="0">H5/80</f>
        <v>0.3</v>
      </c>
      <c r="J5">
        <f>J4+H5</f>
        <v>36</v>
      </c>
      <c r="K5" s="9">
        <f>K4+I5</f>
        <v>0.44999999999999996</v>
      </c>
      <c r="M5">
        <f t="shared" ref="M5:M10" si="1">COUNTIF($A$1:$A$80,G5)</f>
        <v>24</v>
      </c>
    </row>
    <row r="6" spans="1:13" x14ac:dyDescent="0.45">
      <c r="A6">
        <v>1</v>
      </c>
      <c r="E6">
        <f>COUNTIF(A1:A74,3)</f>
        <v>15</v>
      </c>
      <c r="G6">
        <v>2</v>
      </c>
      <c r="H6">
        <v>20</v>
      </c>
      <c r="I6" s="6">
        <f t="shared" si="0"/>
        <v>0.25</v>
      </c>
      <c r="J6">
        <f t="shared" ref="J6:J10" si="2">J5+H6</f>
        <v>56</v>
      </c>
      <c r="K6" s="9">
        <f t="shared" ref="K6:K10" si="3">K5+I6</f>
        <v>0.7</v>
      </c>
      <c r="M6">
        <f t="shared" si="1"/>
        <v>20</v>
      </c>
    </row>
    <row r="7" spans="1:13" x14ac:dyDescent="0.45">
      <c r="A7">
        <v>3</v>
      </c>
      <c r="G7">
        <v>3</v>
      </c>
      <c r="H7">
        <v>16</v>
      </c>
      <c r="I7" s="6">
        <f t="shared" si="0"/>
        <v>0.2</v>
      </c>
      <c r="J7">
        <f t="shared" si="2"/>
        <v>72</v>
      </c>
      <c r="K7" s="9">
        <f t="shared" si="3"/>
        <v>0.89999999999999991</v>
      </c>
      <c r="M7">
        <f t="shared" si="1"/>
        <v>16</v>
      </c>
    </row>
    <row r="8" spans="1:13" x14ac:dyDescent="0.45">
      <c r="A8">
        <v>0</v>
      </c>
      <c r="G8">
        <v>4</v>
      </c>
      <c r="H8">
        <v>4</v>
      </c>
      <c r="I8" s="6">
        <f t="shared" si="0"/>
        <v>0.05</v>
      </c>
      <c r="J8">
        <f t="shared" si="2"/>
        <v>76</v>
      </c>
      <c r="K8" s="9">
        <f t="shared" si="3"/>
        <v>0.95</v>
      </c>
      <c r="M8">
        <f t="shared" si="1"/>
        <v>4</v>
      </c>
    </row>
    <row r="9" spans="1:13" x14ac:dyDescent="0.45">
      <c r="A9">
        <v>3</v>
      </c>
      <c r="G9">
        <v>5</v>
      </c>
      <c r="H9">
        <v>2</v>
      </c>
      <c r="I9" s="6">
        <f t="shared" si="0"/>
        <v>2.5000000000000001E-2</v>
      </c>
      <c r="J9">
        <f t="shared" si="2"/>
        <v>78</v>
      </c>
      <c r="K9" s="9">
        <f t="shared" si="3"/>
        <v>0.97499999999999998</v>
      </c>
      <c r="M9">
        <f t="shared" si="1"/>
        <v>2</v>
      </c>
    </row>
    <row r="10" spans="1:13" x14ac:dyDescent="0.45">
      <c r="A10">
        <v>6</v>
      </c>
      <c r="G10">
        <v>6</v>
      </c>
      <c r="H10">
        <v>2</v>
      </c>
      <c r="I10" s="6">
        <f t="shared" si="0"/>
        <v>2.5000000000000001E-2</v>
      </c>
      <c r="J10">
        <f t="shared" si="2"/>
        <v>80</v>
      </c>
      <c r="K10" s="9">
        <f t="shared" si="3"/>
        <v>1</v>
      </c>
      <c r="M10">
        <f t="shared" si="1"/>
        <v>2</v>
      </c>
    </row>
    <row r="11" spans="1:13" x14ac:dyDescent="0.45">
      <c r="A11">
        <v>5</v>
      </c>
      <c r="G11" s="5" t="s">
        <v>10</v>
      </c>
      <c r="H11">
        <f>SUM(H4:H10)</f>
        <v>80</v>
      </c>
    </row>
    <row r="12" spans="1:13" x14ac:dyDescent="0.45">
      <c r="A12">
        <v>0</v>
      </c>
    </row>
    <row r="13" spans="1:13" x14ac:dyDescent="0.45">
      <c r="A13">
        <v>1</v>
      </c>
    </row>
    <row r="14" spans="1:13" x14ac:dyDescent="0.45">
      <c r="A14">
        <v>1</v>
      </c>
      <c r="E14" t="s">
        <v>11</v>
      </c>
      <c r="M14" t="s">
        <v>13</v>
      </c>
    </row>
    <row r="15" spans="1:13" x14ac:dyDescent="0.45">
      <c r="A15">
        <v>3</v>
      </c>
    </row>
    <row r="16" spans="1:13" x14ac:dyDescent="0.45">
      <c r="A16">
        <v>0</v>
      </c>
    </row>
    <row r="17" spans="1:8" x14ac:dyDescent="0.45">
      <c r="A17">
        <v>3</v>
      </c>
    </row>
    <row r="18" spans="1:8" x14ac:dyDescent="0.45">
      <c r="A18">
        <v>2</v>
      </c>
    </row>
    <row r="19" spans="1:8" x14ac:dyDescent="0.45">
      <c r="A19">
        <v>6</v>
      </c>
    </row>
    <row r="20" spans="1:8" x14ac:dyDescent="0.45">
      <c r="A20">
        <v>5</v>
      </c>
    </row>
    <row r="21" spans="1:8" x14ac:dyDescent="0.45">
      <c r="A21">
        <v>0</v>
      </c>
    </row>
    <row r="22" spans="1:8" x14ac:dyDescent="0.45">
      <c r="A22">
        <v>0</v>
      </c>
    </row>
    <row r="23" spans="1:8" x14ac:dyDescent="0.45">
      <c r="A23">
        <v>4</v>
      </c>
    </row>
    <row r="24" spans="1:8" x14ac:dyDescent="0.45">
      <c r="A24">
        <v>1</v>
      </c>
    </row>
    <row r="25" spans="1:8" x14ac:dyDescent="0.45">
      <c r="A25">
        <v>1</v>
      </c>
    </row>
    <row r="26" spans="1:8" x14ac:dyDescent="0.45">
      <c r="A26">
        <v>4</v>
      </c>
    </row>
    <row r="27" spans="1:8" x14ac:dyDescent="0.45">
      <c r="A27">
        <v>0</v>
      </c>
    </row>
    <row r="28" spans="1:8" x14ac:dyDescent="0.45">
      <c r="A28">
        <v>4</v>
      </c>
    </row>
    <row r="29" spans="1:8" x14ac:dyDescent="0.45">
      <c r="A29">
        <v>3</v>
      </c>
    </row>
    <row r="30" spans="1:8" x14ac:dyDescent="0.45">
      <c r="A30">
        <v>3</v>
      </c>
    </row>
    <row r="31" spans="1:8" x14ac:dyDescent="0.45">
      <c r="A31">
        <v>3</v>
      </c>
    </row>
    <row r="32" spans="1:8" ht="14.65" thickBot="1" x14ac:dyDescent="0.5">
      <c r="A32">
        <v>0</v>
      </c>
      <c r="E32" t="s">
        <v>14</v>
      </c>
      <c r="H32" t="s">
        <v>29</v>
      </c>
    </row>
    <row r="33" spans="1:9" x14ac:dyDescent="0.45">
      <c r="A33">
        <v>0</v>
      </c>
      <c r="E33" s="12" t="s">
        <v>15</v>
      </c>
      <c r="F33" s="12"/>
      <c r="H33" t="s">
        <v>30</v>
      </c>
    </row>
    <row r="34" spans="1:9" x14ac:dyDescent="0.45">
      <c r="A34">
        <v>3</v>
      </c>
      <c r="E34" s="10"/>
      <c r="F34" s="10"/>
      <c r="H34" t="s">
        <v>31</v>
      </c>
    </row>
    <row r="35" spans="1:9" x14ac:dyDescent="0.45">
      <c r="A35">
        <v>2</v>
      </c>
      <c r="E35" s="10" t="s">
        <v>16</v>
      </c>
      <c r="F35" s="10">
        <v>1.875</v>
      </c>
      <c r="H35" t="s">
        <v>32</v>
      </c>
    </row>
    <row r="36" spans="1:9" x14ac:dyDescent="0.45">
      <c r="A36">
        <v>1</v>
      </c>
      <c r="E36" s="10" t="s">
        <v>17</v>
      </c>
      <c r="F36" s="10">
        <v>0.15546479922306641</v>
      </c>
      <c r="H36">
        <f>COUNTIF(A1:A80,"&gt;2")</f>
        <v>24</v>
      </c>
      <c r="I36">
        <f>24/80</f>
        <v>0.3</v>
      </c>
    </row>
    <row r="37" spans="1:9" x14ac:dyDescent="0.45">
      <c r="A37">
        <v>2</v>
      </c>
      <c r="E37" s="10" t="s">
        <v>18</v>
      </c>
      <c r="F37" s="10">
        <v>2</v>
      </c>
    </row>
    <row r="38" spans="1:9" x14ac:dyDescent="0.45">
      <c r="A38">
        <v>0</v>
      </c>
      <c r="E38" s="10" t="s">
        <v>19</v>
      </c>
      <c r="F38" s="10">
        <v>1</v>
      </c>
    </row>
    <row r="39" spans="1:9" x14ac:dyDescent="0.45">
      <c r="A39">
        <v>1</v>
      </c>
      <c r="E39" s="10" t="s">
        <v>20</v>
      </c>
      <c r="F39" s="10">
        <v>1.3905194366845322</v>
      </c>
    </row>
    <row r="40" spans="1:9" x14ac:dyDescent="0.45">
      <c r="A40">
        <v>1</v>
      </c>
      <c r="E40" s="10" t="s">
        <v>21</v>
      </c>
      <c r="F40" s="10">
        <v>1.9335443037974684</v>
      </c>
    </row>
    <row r="41" spans="1:9" x14ac:dyDescent="0.45">
      <c r="A41">
        <v>2</v>
      </c>
      <c r="E41" s="10" t="s">
        <v>22</v>
      </c>
      <c r="F41" s="10">
        <v>0.67950926126060729</v>
      </c>
    </row>
    <row r="42" spans="1:9" x14ac:dyDescent="0.45">
      <c r="A42">
        <v>2</v>
      </c>
      <c r="E42" s="10" t="s">
        <v>23</v>
      </c>
      <c r="F42" s="10">
        <v>0.8085182597017142</v>
      </c>
    </row>
    <row r="43" spans="1:9" x14ac:dyDescent="0.45">
      <c r="A43">
        <v>2</v>
      </c>
      <c r="E43" s="10" t="s">
        <v>24</v>
      </c>
      <c r="F43" s="10">
        <v>6</v>
      </c>
    </row>
    <row r="44" spans="1:9" x14ac:dyDescent="0.45">
      <c r="A44">
        <v>3</v>
      </c>
      <c r="E44" s="10" t="s">
        <v>25</v>
      </c>
      <c r="F44" s="10">
        <v>0</v>
      </c>
    </row>
    <row r="45" spans="1:9" x14ac:dyDescent="0.45">
      <c r="A45">
        <v>2</v>
      </c>
      <c r="E45" s="10" t="s">
        <v>26</v>
      </c>
      <c r="F45" s="10">
        <v>6</v>
      </c>
    </row>
    <row r="46" spans="1:9" x14ac:dyDescent="0.45">
      <c r="A46">
        <v>2</v>
      </c>
      <c r="E46" s="10" t="s">
        <v>27</v>
      </c>
      <c r="F46" s="10">
        <v>150</v>
      </c>
    </row>
    <row r="47" spans="1:9" ht="14.65" thickBot="1" x14ac:dyDescent="0.5">
      <c r="A47">
        <v>1</v>
      </c>
      <c r="E47" s="11" t="s">
        <v>28</v>
      </c>
      <c r="F47" s="11">
        <v>80</v>
      </c>
    </row>
    <row r="48" spans="1:9" x14ac:dyDescent="0.45">
      <c r="A48">
        <v>1</v>
      </c>
    </row>
    <row r="49" spans="1:1" x14ac:dyDescent="0.45">
      <c r="A49">
        <v>0</v>
      </c>
    </row>
    <row r="50" spans="1:1" x14ac:dyDescent="0.45">
      <c r="A50">
        <v>0</v>
      </c>
    </row>
    <row r="51" spans="1:1" x14ac:dyDescent="0.45">
      <c r="A51">
        <v>0</v>
      </c>
    </row>
    <row r="52" spans="1:1" x14ac:dyDescent="0.45">
      <c r="A52">
        <v>2</v>
      </c>
    </row>
    <row r="53" spans="1:1" x14ac:dyDescent="0.45">
      <c r="A53">
        <v>2</v>
      </c>
    </row>
    <row r="54" spans="1:1" x14ac:dyDescent="0.45">
      <c r="A54">
        <v>1</v>
      </c>
    </row>
    <row r="55" spans="1:1" x14ac:dyDescent="0.45">
      <c r="A55">
        <v>1</v>
      </c>
    </row>
    <row r="56" spans="1:1" x14ac:dyDescent="0.45">
      <c r="A56">
        <v>1</v>
      </c>
    </row>
    <row r="57" spans="1:1" x14ac:dyDescent="0.45">
      <c r="A57">
        <v>1</v>
      </c>
    </row>
    <row r="58" spans="1:1" x14ac:dyDescent="0.45">
      <c r="A58">
        <v>2</v>
      </c>
    </row>
    <row r="59" spans="1:1" x14ac:dyDescent="0.45">
      <c r="A59">
        <v>3</v>
      </c>
    </row>
    <row r="60" spans="1:1" x14ac:dyDescent="0.45">
      <c r="A60">
        <v>3</v>
      </c>
    </row>
    <row r="61" spans="1:1" x14ac:dyDescent="0.45">
      <c r="A61">
        <v>1</v>
      </c>
    </row>
    <row r="62" spans="1:1" x14ac:dyDescent="0.45">
      <c r="A62">
        <v>2</v>
      </c>
    </row>
    <row r="63" spans="1:1" x14ac:dyDescent="0.45">
      <c r="A63">
        <v>3</v>
      </c>
    </row>
    <row r="64" spans="1:1" x14ac:dyDescent="0.45">
      <c r="A64">
        <v>3</v>
      </c>
    </row>
    <row r="65" spans="1:1" x14ac:dyDescent="0.45">
      <c r="A65">
        <v>2</v>
      </c>
    </row>
    <row r="66" spans="1:1" x14ac:dyDescent="0.45">
      <c r="A66">
        <v>2</v>
      </c>
    </row>
    <row r="67" spans="1:1" x14ac:dyDescent="0.45">
      <c r="A67">
        <v>1</v>
      </c>
    </row>
    <row r="68" spans="1:1" x14ac:dyDescent="0.45">
      <c r="A68">
        <v>3</v>
      </c>
    </row>
    <row r="69" spans="1:1" x14ac:dyDescent="0.45">
      <c r="A69">
        <v>2</v>
      </c>
    </row>
    <row r="70" spans="1:1" x14ac:dyDescent="0.45">
      <c r="A70">
        <v>1</v>
      </c>
    </row>
    <row r="71" spans="1:1" x14ac:dyDescent="0.45">
      <c r="A71">
        <v>1</v>
      </c>
    </row>
    <row r="72" spans="1:1" x14ac:dyDescent="0.45">
      <c r="A72">
        <v>2</v>
      </c>
    </row>
    <row r="73" spans="1:1" x14ac:dyDescent="0.45">
      <c r="A73">
        <v>1</v>
      </c>
    </row>
    <row r="74" spans="1:1" x14ac:dyDescent="0.45">
      <c r="A74">
        <v>1</v>
      </c>
    </row>
    <row r="75" spans="1:1" x14ac:dyDescent="0.45">
      <c r="A75">
        <v>2</v>
      </c>
    </row>
    <row r="76" spans="1:1" x14ac:dyDescent="0.45">
      <c r="A76">
        <v>2</v>
      </c>
    </row>
    <row r="77" spans="1:1" x14ac:dyDescent="0.45">
      <c r="A77">
        <v>3</v>
      </c>
    </row>
    <row r="78" spans="1:1" x14ac:dyDescent="0.45">
      <c r="A78">
        <v>2</v>
      </c>
    </row>
    <row r="79" spans="1:1" x14ac:dyDescent="0.45">
      <c r="A79">
        <v>1</v>
      </c>
    </row>
    <row r="80" spans="1:1" x14ac:dyDescent="0.45">
      <c r="A80">
        <v>1</v>
      </c>
    </row>
  </sheetData>
  <pageMargins left="0.7" right="0.7" top="0.75" bottom="0.75" header="0.3" footer="0.3"/>
  <ignoredErrors>
    <ignoredError sqref="E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BA46-342B-4C74-9C0C-E17AB7CA1B3F}">
  <dimension ref="A1:K120"/>
  <sheetViews>
    <sheetView topLeftCell="A4" workbookViewId="0">
      <selection activeCell="L25" sqref="L25"/>
    </sheetView>
  </sheetViews>
  <sheetFormatPr defaultRowHeight="14.25" x14ac:dyDescent="0.45"/>
  <sheetData>
    <row r="1" spans="1:11" x14ac:dyDescent="0.45">
      <c r="A1">
        <v>4.21</v>
      </c>
      <c r="C1" t="s">
        <v>33</v>
      </c>
      <c r="D1" t="s">
        <v>34</v>
      </c>
    </row>
    <row r="2" spans="1:11" x14ac:dyDescent="0.45">
      <c r="A2">
        <v>5.13</v>
      </c>
      <c r="D2" t="s">
        <v>35</v>
      </c>
    </row>
    <row r="3" spans="1:11" x14ac:dyDescent="0.45">
      <c r="A3">
        <v>5.32</v>
      </c>
      <c r="C3" s="13" t="s">
        <v>42</v>
      </c>
    </row>
    <row r="4" spans="1:11" x14ac:dyDescent="0.45">
      <c r="A4">
        <v>4.5599999999999996</v>
      </c>
      <c r="D4" t="s">
        <v>4</v>
      </c>
      <c r="E4">
        <f>COUNT(A1:A120)</f>
        <v>120</v>
      </c>
    </row>
    <row r="5" spans="1:11" x14ac:dyDescent="0.45">
      <c r="A5">
        <v>4.6100000000000003</v>
      </c>
      <c r="D5" t="s">
        <v>36</v>
      </c>
      <c r="E5">
        <f>MAX(A1:A120)</f>
        <v>5.87</v>
      </c>
    </row>
    <row r="6" spans="1:11" x14ac:dyDescent="0.45">
      <c r="A6">
        <v>5.03</v>
      </c>
      <c r="D6" t="s">
        <v>37</v>
      </c>
      <c r="E6">
        <f>MIN(A1:A120)</f>
        <v>4.0199999999999996</v>
      </c>
    </row>
    <row r="7" spans="1:11" x14ac:dyDescent="0.45">
      <c r="A7">
        <v>5.1100000000000003</v>
      </c>
      <c r="D7" t="s">
        <v>38</v>
      </c>
      <c r="E7">
        <f>E5-E6</f>
        <v>1.8500000000000005</v>
      </c>
    </row>
    <row r="8" spans="1:11" x14ac:dyDescent="0.45">
      <c r="A8">
        <v>4.37</v>
      </c>
      <c r="D8" t="s">
        <v>39</v>
      </c>
      <c r="F8">
        <f>INT(LOG(E4,2))+1</f>
        <v>7</v>
      </c>
    </row>
    <row r="9" spans="1:11" x14ac:dyDescent="0.45">
      <c r="A9">
        <v>4.54</v>
      </c>
      <c r="D9" t="s">
        <v>40</v>
      </c>
      <c r="F9">
        <f>(E5-E6)/7</f>
        <v>0.26428571428571435</v>
      </c>
      <c r="G9" t="s">
        <v>43</v>
      </c>
    </row>
    <row r="10" spans="1:11" x14ac:dyDescent="0.45">
      <c r="A10">
        <v>5.0599999999999996</v>
      </c>
    </row>
    <row r="11" spans="1:11" x14ac:dyDescent="0.45">
      <c r="A11">
        <v>4.2300000000000004</v>
      </c>
    </row>
    <row r="12" spans="1:11" x14ac:dyDescent="0.45">
      <c r="A12">
        <v>5.14</v>
      </c>
      <c r="D12" t="s">
        <v>41</v>
      </c>
      <c r="G12" t="s">
        <v>2</v>
      </c>
    </row>
    <row r="13" spans="1:11" x14ac:dyDescent="0.45">
      <c r="A13">
        <v>4.3600000000000003</v>
      </c>
      <c r="D13">
        <v>4</v>
      </c>
      <c r="G13" t="s">
        <v>44</v>
      </c>
      <c r="H13" t="s">
        <v>6</v>
      </c>
      <c r="I13" t="s">
        <v>7</v>
      </c>
      <c r="J13" t="s">
        <v>8</v>
      </c>
      <c r="K13" t="s">
        <v>9</v>
      </c>
    </row>
    <row r="14" spans="1:11" x14ac:dyDescent="0.45">
      <c r="A14">
        <v>4.7699999999999996</v>
      </c>
      <c r="D14">
        <f>D13+0.3</f>
        <v>4.3</v>
      </c>
      <c r="G14" t="str">
        <f>CONCATENATE("]",D13,";",D14,"]")</f>
        <v>]4;4,3]</v>
      </c>
      <c r="H14">
        <f t="array" ref="H14:H20">FREQUENCY(A1:A120,D14:D20)</f>
        <v>23</v>
      </c>
      <c r="I14" s="7">
        <f>H14/120</f>
        <v>0.19166666666666668</v>
      </c>
      <c r="J14">
        <f>H14</f>
        <v>23</v>
      </c>
      <c r="K14" s="8">
        <f>I14</f>
        <v>0.19166666666666668</v>
      </c>
    </row>
    <row r="15" spans="1:11" x14ac:dyDescent="0.45">
      <c r="A15">
        <v>5.09</v>
      </c>
      <c r="D15">
        <f t="shared" ref="D15:D20" si="0">D14+0.3</f>
        <v>4.5999999999999996</v>
      </c>
      <c r="G15" t="str">
        <f t="shared" ref="G15:G20" si="1">CONCATENATE("]",D14,";",D15,"]")</f>
        <v>]4,3;4,6]</v>
      </c>
      <c r="H15">
        <v>22</v>
      </c>
      <c r="I15" s="7">
        <f t="shared" ref="I15:I20" si="2">H15/120</f>
        <v>0.18333333333333332</v>
      </c>
      <c r="J15">
        <f>J14+H15</f>
        <v>45</v>
      </c>
      <c r="K15" s="8">
        <f>K14+I15</f>
        <v>0.375</v>
      </c>
    </row>
    <row r="16" spans="1:11" x14ac:dyDescent="0.45">
      <c r="A16">
        <v>5.0199999999999996</v>
      </c>
      <c r="D16">
        <f t="shared" si="0"/>
        <v>4.8999999999999995</v>
      </c>
      <c r="G16" t="str">
        <f t="shared" si="1"/>
        <v>]4,6;4,9]</v>
      </c>
      <c r="H16">
        <v>25</v>
      </c>
      <c r="I16" s="7">
        <f t="shared" si="2"/>
        <v>0.20833333333333334</v>
      </c>
      <c r="J16">
        <f t="shared" ref="J16:J20" si="3">J15+H16</f>
        <v>70</v>
      </c>
      <c r="K16" s="8">
        <f t="shared" ref="K16:K20" si="4">K15+I16</f>
        <v>0.58333333333333337</v>
      </c>
    </row>
    <row r="17" spans="1:11" x14ac:dyDescent="0.45">
      <c r="A17">
        <v>4.88</v>
      </c>
      <c r="D17">
        <f t="shared" si="0"/>
        <v>5.1999999999999993</v>
      </c>
      <c r="G17" t="str">
        <f>CONCATENATE("]",D16,";",D17,"]")</f>
        <v>]4,9;5,2]</v>
      </c>
      <c r="H17">
        <v>38</v>
      </c>
      <c r="I17" s="7">
        <f t="shared" si="2"/>
        <v>0.31666666666666665</v>
      </c>
      <c r="J17">
        <f t="shared" si="3"/>
        <v>108</v>
      </c>
      <c r="K17" s="8">
        <f t="shared" si="4"/>
        <v>0.9</v>
      </c>
    </row>
    <row r="18" spans="1:11" x14ac:dyDescent="0.45">
      <c r="A18">
        <v>4.51</v>
      </c>
      <c r="D18">
        <f t="shared" si="0"/>
        <v>5.4999999999999991</v>
      </c>
      <c r="G18" t="str">
        <f t="shared" si="1"/>
        <v>]5,2;5,5]</v>
      </c>
      <c r="H18">
        <v>10</v>
      </c>
      <c r="I18" s="7">
        <f t="shared" si="2"/>
        <v>8.3333333333333329E-2</v>
      </c>
      <c r="J18">
        <f t="shared" si="3"/>
        <v>118</v>
      </c>
      <c r="K18" s="8">
        <f t="shared" si="4"/>
        <v>0.98333333333333339</v>
      </c>
    </row>
    <row r="19" spans="1:11" x14ac:dyDescent="0.45">
      <c r="A19">
        <v>4.3899999999999997</v>
      </c>
      <c r="D19">
        <f t="shared" si="0"/>
        <v>5.7999999999999989</v>
      </c>
      <c r="G19" t="str">
        <f t="shared" si="1"/>
        <v>]5,5;5,8]</v>
      </c>
      <c r="H19">
        <v>1</v>
      </c>
      <c r="I19" s="7">
        <f t="shared" si="2"/>
        <v>8.3333333333333332E-3</v>
      </c>
      <c r="J19">
        <f t="shared" si="3"/>
        <v>119</v>
      </c>
      <c r="K19" s="8">
        <f t="shared" si="4"/>
        <v>0.9916666666666667</v>
      </c>
    </row>
    <row r="20" spans="1:11" x14ac:dyDescent="0.45">
      <c r="A20">
        <v>5.07</v>
      </c>
      <c r="D20">
        <f t="shared" si="0"/>
        <v>6.0999999999999988</v>
      </c>
      <c r="G20" t="str">
        <f t="shared" si="1"/>
        <v>]5,8;6,1]</v>
      </c>
      <c r="H20">
        <v>1</v>
      </c>
      <c r="I20" s="7">
        <f t="shared" si="2"/>
        <v>8.3333333333333332E-3</v>
      </c>
      <c r="J20">
        <f t="shared" si="3"/>
        <v>120</v>
      </c>
      <c r="K20" s="8">
        <f t="shared" si="4"/>
        <v>1</v>
      </c>
    </row>
    <row r="21" spans="1:11" x14ac:dyDescent="0.45">
      <c r="A21">
        <v>5.19</v>
      </c>
      <c r="G21" s="5" t="s">
        <v>10</v>
      </c>
      <c r="H21">
        <f>SUM(H14:H20)</f>
        <v>120</v>
      </c>
      <c r="I21" s="8">
        <f>SUM(I14:I20)</f>
        <v>1</v>
      </c>
    </row>
    <row r="22" spans="1:11" x14ac:dyDescent="0.45">
      <c r="A22">
        <v>4.26</v>
      </c>
    </row>
    <row r="23" spans="1:11" x14ac:dyDescent="0.45">
      <c r="A23">
        <v>4.28</v>
      </c>
      <c r="D23" t="s">
        <v>45</v>
      </c>
    </row>
    <row r="24" spans="1:11" x14ac:dyDescent="0.45">
      <c r="A24">
        <v>4.07</v>
      </c>
    </row>
    <row r="25" spans="1:11" x14ac:dyDescent="0.45">
      <c r="A25">
        <v>5.33</v>
      </c>
    </row>
    <row r="26" spans="1:11" x14ac:dyDescent="0.45">
      <c r="A26">
        <v>5.61</v>
      </c>
    </row>
    <row r="27" spans="1:11" x14ac:dyDescent="0.45">
      <c r="A27">
        <v>5.12</v>
      </c>
    </row>
    <row r="28" spans="1:11" x14ac:dyDescent="0.45">
      <c r="A28">
        <v>5.27</v>
      </c>
    </row>
    <row r="29" spans="1:11" x14ac:dyDescent="0.45">
      <c r="A29">
        <v>4.8499999999999996</v>
      </c>
    </row>
    <row r="30" spans="1:11" x14ac:dyDescent="0.45">
      <c r="A30">
        <v>4.6900000000000004</v>
      </c>
    </row>
    <row r="31" spans="1:11" x14ac:dyDescent="0.45">
      <c r="A31">
        <v>4.87</v>
      </c>
    </row>
    <row r="32" spans="1:11" x14ac:dyDescent="0.45">
      <c r="A32">
        <v>4.76</v>
      </c>
    </row>
    <row r="33" spans="1:7" x14ac:dyDescent="0.45">
      <c r="A33">
        <v>4.2300000000000004</v>
      </c>
    </row>
    <row r="34" spans="1:7" x14ac:dyDescent="0.45">
      <c r="A34">
        <v>4.1100000000000003</v>
      </c>
    </row>
    <row r="35" spans="1:7" x14ac:dyDescent="0.45">
      <c r="A35">
        <v>5.18</v>
      </c>
    </row>
    <row r="36" spans="1:7" x14ac:dyDescent="0.45">
      <c r="A36">
        <v>4.84</v>
      </c>
    </row>
    <row r="37" spans="1:7" x14ac:dyDescent="0.45">
      <c r="A37">
        <v>4.22</v>
      </c>
    </row>
    <row r="38" spans="1:7" x14ac:dyDescent="0.45">
      <c r="A38">
        <v>4.16</v>
      </c>
    </row>
    <row r="39" spans="1:7" x14ac:dyDescent="0.45">
      <c r="A39">
        <v>4.2699999999999996</v>
      </c>
    </row>
    <row r="40" spans="1:7" ht="14.65" thickBot="1" x14ac:dyDescent="0.5">
      <c r="A40">
        <v>4.09</v>
      </c>
      <c r="D40" t="s">
        <v>12</v>
      </c>
      <c r="G40" t="s">
        <v>46</v>
      </c>
    </row>
    <row r="41" spans="1:7" x14ac:dyDescent="0.45">
      <c r="A41">
        <v>4.12</v>
      </c>
      <c r="D41" s="12" t="s">
        <v>15</v>
      </c>
      <c r="E41" s="12"/>
      <c r="G41" t="s">
        <v>47</v>
      </c>
    </row>
    <row r="42" spans="1:7" x14ac:dyDescent="0.45">
      <c r="A42">
        <v>5.09</v>
      </c>
      <c r="D42" s="10"/>
      <c r="E42" s="10"/>
    </row>
    <row r="43" spans="1:7" x14ac:dyDescent="0.45">
      <c r="A43">
        <v>5.1100000000000003</v>
      </c>
      <c r="D43" s="10" t="s">
        <v>16</v>
      </c>
      <c r="E43" s="10">
        <v>4.7498333333333331</v>
      </c>
    </row>
    <row r="44" spans="1:7" x14ac:dyDescent="0.45">
      <c r="A44">
        <v>5.13</v>
      </c>
      <c r="D44" s="10" t="s">
        <v>17</v>
      </c>
      <c r="E44" s="10">
        <v>3.732906575748713E-2</v>
      </c>
    </row>
    <row r="45" spans="1:7" x14ac:dyDescent="0.45">
      <c r="A45">
        <v>5.01</v>
      </c>
      <c r="D45" s="10" t="s">
        <v>18</v>
      </c>
      <c r="E45" s="10">
        <v>4.7699999999999996</v>
      </c>
    </row>
    <row r="46" spans="1:7" x14ac:dyDescent="0.45">
      <c r="A46">
        <v>4.9800000000000004</v>
      </c>
      <c r="D46" s="10" t="s">
        <v>19</v>
      </c>
      <c r="E46" s="10">
        <v>5.09</v>
      </c>
    </row>
    <row r="47" spans="1:7" x14ac:dyDescent="0.45">
      <c r="A47">
        <v>4.07</v>
      </c>
      <c r="D47" s="10" t="s">
        <v>20</v>
      </c>
      <c r="E47" s="10">
        <v>0.40891942731938741</v>
      </c>
    </row>
    <row r="48" spans="1:7" x14ac:dyDescent="0.45">
      <c r="A48">
        <v>4.2300000000000004</v>
      </c>
      <c r="D48" s="10" t="s">
        <v>21</v>
      </c>
      <c r="E48" s="10">
        <v>0.16721509803921578</v>
      </c>
    </row>
    <row r="49" spans="1:5" x14ac:dyDescent="0.45">
      <c r="A49">
        <v>4.67</v>
      </c>
      <c r="D49" s="10" t="s">
        <v>22</v>
      </c>
      <c r="E49" s="10">
        <v>-0.87713513144311772</v>
      </c>
    </row>
    <row r="50" spans="1:5" x14ac:dyDescent="0.45">
      <c r="A50">
        <v>4.51</v>
      </c>
      <c r="D50" s="10" t="s">
        <v>23</v>
      </c>
      <c r="E50" s="10">
        <v>-4.0908152356172706E-2</v>
      </c>
    </row>
    <row r="51" spans="1:5" x14ac:dyDescent="0.45">
      <c r="A51">
        <v>4.22</v>
      </c>
      <c r="D51" s="10" t="s">
        <v>24</v>
      </c>
      <c r="E51" s="10">
        <v>1.8500000000000005</v>
      </c>
    </row>
    <row r="52" spans="1:5" x14ac:dyDescent="0.45">
      <c r="A52">
        <v>4.38</v>
      </c>
      <c r="D52" s="10" t="s">
        <v>25</v>
      </c>
      <c r="E52" s="10">
        <v>4.0199999999999996</v>
      </c>
    </row>
    <row r="53" spans="1:5" x14ac:dyDescent="0.45">
      <c r="A53">
        <v>4.7699999999999996</v>
      </c>
      <c r="D53" s="10" t="s">
        <v>26</v>
      </c>
      <c r="E53" s="10">
        <v>5.87</v>
      </c>
    </row>
    <row r="54" spans="1:5" x14ac:dyDescent="0.45">
      <c r="A54">
        <v>5.0599999999999996</v>
      </c>
      <c r="D54" s="10" t="s">
        <v>27</v>
      </c>
      <c r="E54" s="10">
        <v>569.98</v>
      </c>
    </row>
    <row r="55" spans="1:5" ht="14.65" thickBot="1" x14ac:dyDescent="0.5">
      <c r="A55">
        <v>5.01</v>
      </c>
      <c r="D55" s="11" t="s">
        <v>28</v>
      </c>
      <c r="E55" s="11">
        <v>120</v>
      </c>
    </row>
    <row r="56" spans="1:5" x14ac:dyDescent="0.45">
      <c r="A56">
        <v>4.84</v>
      </c>
    </row>
    <row r="57" spans="1:5" x14ac:dyDescent="0.45">
      <c r="A57">
        <v>4.33</v>
      </c>
    </row>
    <row r="58" spans="1:5" x14ac:dyDescent="0.45">
      <c r="A58">
        <v>4.17</v>
      </c>
    </row>
    <row r="59" spans="1:5" x14ac:dyDescent="0.45">
      <c r="A59">
        <v>4.09</v>
      </c>
    </row>
    <row r="60" spans="1:5" x14ac:dyDescent="0.45">
      <c r="A60">
        <v>4.22</v>
      </c>
    </row>
    <row r="61" spans="1:5" x14ac:dyDescent="0.45">
      <c r="A61">
        <v>4.76</v>
      </c>
    </row>
    <row r="62" spans="1:5" x14ac:dyDescent="0.45">
      <c r="A62">
        <v>4.72</v>
      </c>
    </row>
    <row r="63" spans="1:5" x14ac:dyDescent="0.45">
      <c r="A63">
        <v>4.88</v>
      </c>
    </row>
    <row r="64" spans="1:5" x14ac:dyDescent="0.45">
      <c r="A64">
        <v>4.99</v>
      </c>
    </row>
    <row r="65" spans="1:1" x14ac:dyDescent="0.45">
      <c r="A65">
        <v>5.09</v>
      </c>
    </row>
    <row r="66" spans="1:1" x14ac:dyDescent="0.45">
      <c r="A66">
        <v>5.16</v>
      </c>
    </row>
    <row r="67" spans="1:1" x14ac:dyDescent="0.45">
      <c r="A67">
        <v>5.43</v>
      </c>
    </row>
    <row r="68" spans="1:1" x14ac:dyDescent="0.45">
      <c r="A68">
        <v>5.04</v>
      </c>
    </row>
    <row r="69" spans="1:1" x14ac:dyDescent="0.45">
      <c r="A69">
        <v>5.01</v>
      </c>
    </row>
    <row r="70" spans="1:1" x14ac:dyDescent="0.45">
      <c r="A70">
        <v>4.38</v>
      </c>
    </row>
    <row r="71" spans="1:1" x14ac:dyDescent="0.45">
      <c r="A71">
        <v>4.87</v>
      </c>
    </row>
    <row r="72" spans="1:1" x14ac:dyDescent="0.45">
      <c r="A72">
        <v>4.91</v>
      </c>
    </row>
    <row r="73" spans="1:1" x14ac:dyDescent="0.45">
      <c r="A73">
        <v>5.07</v>
      </c>
    </row>
    <row r="74" spans="1:1" x14ac:dyDescent="0.45">
      <c r="A74">
        <v>5.16</v>
      </c>
    </row>
    <row r="75" spans="1:1" x14ac:dyDescent="0.45">
      <c r="A75">
        <v>5.28</v>
      </c>
    </row>
    <row r="76" spans="1:1" x14ac:dyDescent="0.45">
      <c r="A76">
        <v>5.1100000000000003</v>
      </c>
    </row>
    <row r="77" spans="1:1" x14ac:dyDescent="0.45">
      <c r="A77">
        <v>5.08</v>
      </c>
    </row>
    <row r="78" spans="1:1" x14ac:dyDescent="0.45">
      <c r="A78">
        <v>4.12</v>
      </c>
    </row>
    <row r="79" spans="1:1" x14ac:dyDescent="0.45">
      <c r="A79">
        <v>4.76</v>
      </c>
    </row>
    <row r="80" spans="1:1" x14ac:dyDescent="0.45">
      <c r="A80">
        <v>4.33</v>
      </c>
    </row>
    <row r="81" spans="1:1" x14ac:dyDescent="0.45">
      <c r="A81">
        <v>4.57</v>
      </c>
    </row>
    <row r="82" spans="1:1" x14ac:dyDescent="0.45">
      <c r="A82">
        <v>4.8899999999999997</v>
      </c>
    </row>
    <row r="83" spans="1:1" x14ac:dyDescent="0.45">
      <c r="A83">
        <v>4.88</v>
      </c>
    </row>
    <row r="84" spans="1:1" x14ac:dyDescent="0.45">
      <c r="A84">
        <v>5.09</v>
      </c>
    </row>
    <row r="85" spans="1:1" x14ac:dyDescent="0.45">
      <c r="A85">
        <v>5.38</v>
      </c>
    </row>
    <row r="86" spans="1:1" x14ac:dyDescent="0.45">
      <c r="A86">
        <v>5.1100000000000003</v>
      </c>
    </row>
    <row r="87" spans="1:1" x14ac:dyDescent="0.45">
      <c r="A87">
        <v>5.23</v>
      </c>
    </row>
    <row r="88" spans="1:1" x14ac:dyDescent="0.45">
      <c r="A88">
        <v>4.3600000000000003</v>
      </c>
    </row>
    <row r="89" spans="1:1" x14ac:dyDescent="0.45">
      <c r="A89">
        <v>4.66</v>
      </c>
    </row>
    <row r="90" spans="1:1" x14ac:dyDescent="0.45">
      <c r="A90">
        <v>4.76</v>
      </c>
    </row>
    <row r="91" spans="1:1" x14ac:dyDescent="0.45">
      <c r="A91">
        <v>4.9800000000000004</v>
      </c>
    </row>
    <row r="92" spans="1:1" x14ac:dyDescent="0.45">
      <c r="A92">
        <v>4.53</v>
      </c>
    </row>
    <row r="93" spans="1:1" x14ac:dyDescent="0.45">
      <c r="A93">
        <v>4.4400000000000004</v>
      </c>
    </row>
    <row r="94" spans="1:1" x14ac:dyDescent="0.45">
      <c r="A94">
        <v>4.22</v>
      </c>
    </row>
    <row r="95" spans="1:1" x14ac:dyDescent="0.45">
      <c r="A95">
        <v>5.01</v>
      </c>
    </row>
    <row r="96" spans="1:1" x14ac:dyDescent="0.45">
      <c r="A96">
        <v>5.12</v>
      </c>
    </row>
    <row r="97" spans="1:1" x14ac:dyDescent="0.45">
      <c r="A97">
        <v>4.37</v>
      </c>
    </row>
    <row r="98" spans="1:1" x14ac:dyDescent="0.45">
      <c r="A98">
        <v>4.08</v>
      </c>
    </row>
    <row r="99" spans="1:1" x14ac:dyDescent="0.45">
      <c r="A99">
        <v>5.87</v>
      </c>
    </row>
    <row r="100" spans="1:1" x14ac:dyDescent="0.45">
      <c r="A100">
        <v>5.34</v>
      </c>
    </row>
    <row r="101" spans="1:1" x14ac:dyDescent="0.45">
      <c r="A101">
        <v>4.33</v>
      </c>
    </row>
    <row r="102" spans="1:1" x14ac:dyDescent="0.45">
      <c r="A102">
        <v>4.18</v>
      </c>
    </row>
    <row r="103" spans="1:1" x14ac:dyDescent="0.45">
      <c r="A103">
        <v>4.5599999999999996</v>
      </c>
    </row>
    <row r="104" spans="1:1" x14ac:dyDescent="0.45">
      <c r="A104">
        <v>4.71</v>
      </c>
    </row>
    <row r="105" spans="1:1" x14ac:dyDescent="0.45">
      <c r="A105">
        <v>4.9800000000000004</v>
      </c>
    </row>
    <row r="106" spans="1:1" x14ac:dyDescent="0.45">
      <c r="A106">
        <v>4.0199999999999996</v>
      </c>
    </row>
    <row r="107" spans="1:1" x14ac:dyDescent="0.45">
      <c r="A107">
        <v>5.08</v>
      </c>
    </row>
    <row r="108" spans="1:1" x14ac:dyDescent="0.45">
      <c r="A108">
        <v>5.22</v>
      </c>
    </row>
    <row r="109" spans="1:1" x14ac:dyDescent="0.45">
      <c r="A109">
        <v>4.66</v>
      </c>
    </row>
    <row r="110" spans="1:1" x14ac:dyDescent="0.45">
      <c r="A110">
        <v>4.76</v>
      </c>
    </row>
    <row r="111" spans="1:1" x14ac:dyDescent="0.45">
      <c r="A111">
        <v>4.32</v>
      </c>
    </row>
    <row r="112" spans="1:1" x14ac:dyDescent="0.45">
      <c r="A112">
        <v>5.17</v>
      </c>
    </row>
    <row r="113" spans="1:1" x14ac:dyDescent="0.45">
      <c r="A113">
        <v>4.99</v>
      </c>
    </row>
    <row r="114" spans="1:1" x14ac:dyDescent="0.45">
      <c r="A114">
        <v>4.71</v>
      </c>
    </row>
    <row r="115" spans="1:1" x14ac:dyDescent="0.45">
      <c r="A115">
        <v>5.33</v>
      </c>
    </row>
    <row r="116" spans="1:1" x14ac:dyDescent="0.45">
      <c r="A116">
        <v>5.09</v>
      </c>
    </row>
    <row r="117" spans="1:1" x14ac:dyDescent="0.45">
      <c r="A117">
        <v>4.7699999999999996</v>
      </c>
    </row>
    <row r="118" spans="1:1" x14ac:dyDescent="0.45">
      <c r="A118">
        <v>4.37</v>
      </c>
    </row>
    <row r="119" spans="1:1" x14ac:dyDescent="0.45">
      <c r="A119">
        <v>4.3099999999999996</v>
      </c>
    </row>
    <row r="120" spans="1:1" x14ac:dyDescent="0.45">
      <c r="A120">
        <v>4.57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F88D-C520-4F21-800D-C3F0CD2E1DFF}">
  <dimension ref="A1:J150"/>
  <sheetViews>
    <sheetView workbookViewId="0">
      <selection activeCell="N18" sqref="N18"/>
    </sheetView>
  </sheetViews>
  <sheetFormatPr defaultRowHeight="14.25" x14ac:dyDescent="0.45"/>
  <sheetData>
    <row r="1" spans="1:10" x14ac:dyDescent="0.45">
      <c r="A1">
        <v>1</v>
      </c>
      <c r="C1" t="s">
        <v>48</v>
      </c>
      <c r="D1" t="s">
        <v>49</v>
      </c>
    </row>
    <row r="2" spans="1:10" x14ac:dyDescent="0.45">
      <c r="A2">
        <v>0</v>
      </c>
      <c r="D2" t="s">
        <v>50</v>
      </c>
    </row>
    <row r="3" spans="1:10" x14ac:dyDescent="0.45">
      <c r="A3">
        <v>0</v>
      </c>
      <c r="I3" t="s">
        <v>3</v>
      </c>
      <c r="J3">
        <f>COUNT(A1:A150)</f>
        <v>150</v>
      </c>
    </row>
    <row r="4" spans="1:10" x14ac:dyDescent="0.45">
      <c r="A4">
        <v>2</v>
      </c>
      <c r="D4" t="s">
        <v>2</v>
      </c>
    </row>
    <row r="5" spans="1:10" x14ac:dyDescent="0.45">
      <c r="A5">
        <v>2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10" x14ac:dyDescent="0.45">
      <c r="A6">
        <v>3</v>
      </c>
      <c r="D6">
        <v>0</v>
      </c>
      <c r="E6">
        <f>COUNTIF($A$1:$A$150,D6)</f>
        <v>42</v>
      </c>
      <c r="F6" s="14">
        <f>E6/150</f>
        <v>0.28000000000000003</v>
      </c>
      <c r="G6">
        <f>E6</f>
        <v>42</v>
      </c>
      <c r="H6" s="15">
        <f>F6</f>
        <v>0.28000000000000003</v>
      </c>
    </row>
    <row r="7" spans="1:10" x14ac:dyDescent="0.45">
      <c r="A7">
        <v>0</v>
      </c>
      <c r="D7">
        <v>1</v>
      </c>
      <c r="E7">
        <f t="shared" ref="E7:E9" si="0">COUNTIF($A$1:$A$150,D7)</f>
        <v>54</v>
      </c>
      <c r="F7" s="14">
        <f t="shared" ref="F7:F9" si="1">E7/150</f>
        <v>0.36</v>
      </c>
      <c r="G7">
        <f>G6+E7</f>
        <v>96</v>
      </c>
      <c r="H7" s="15">
        <f>H6+F7</f>
        <v>0.64</v>
      </c>
    </row>
    <row r="8" spans="1:10" x14ac:dyDescent="0.45">
      <c r="A8">
        <v>1</v>
      </c>
      <c r="D8">
        <v>2</v>
      </c>
      <c r="E8">
        <f t="shared" si="0"/>
        <v>36</v>
      </c>
      <c r="F8" s="14">
        <f t="shared" si="1"/>
        <v>0.24</v>
      </c>
      <c r="G8">
        <f t="shared" ref="G8:G9" si="2">G7+E8</f>
        <v>132</v>
      </c>
      <c r="H8" s="15">
        <f t="shared" ref="H8:H9" si="3">H7+F8</f>
        <v>0.88</v>
      </c>
    </row>
    <row r="9" spans="1:10" x14ac:dyDescent="0.45">
      <c r="A9">
        <v>1</v>
      </c>
      <c r="D9">
        <v>3</v>
      </c>
      <c r="E9">
        <f t="shared" si="0"/>
        <v>18</v>
      </c>
      <c r="F9" s="14">
        <f t="shared" si="1"/>
        <v>0.12</v>
      </c>
      <c r="G9">
        <f t="shared" si="2"/>
        <v>150</v>
      </c>
      <c r="H9" s="15">
        <f t="shared" si="3"/>
        <v>1</v>
      </c>
    </row>
    <row r="10" spans="1:10" x14ac:dyDescent="0.45">
      <c r="A10">
        <v>0</v>
      </c>
      <c r="D10" t="s">
        <v>10</v>
      </c>
      <c r="E10">
        <f>SUM(E6:E9)</f>
        <v>150</v>
      </c>
      <c r="F10" s="15">
        <f>SUM(F6:F9)</f>
        <v>1</v>
      </c>
    </row>
    <row r="11" spans="1:10" x14ac:dyDescent="0.45">
      <c r="A11">
        <v>0</v>
      </c>
    </row>
    <row r="12" spans="1:10" x14ac:dyDescent="0.45">
      <c r="A12">
        <v>2</v>
      </c>
      <c r="D12" t="s">
        <v>52</v>
      </c>
    </row>
    <row r="13" spans="1:10" x14ac:dyDescent="0.45">
      <c r="A13">
        <v>2</v>
      </c>
    </row>
    <row r="14" spans="1:10" x14ac:dyDescent="0.45">
      <c r="A14">
        <v>3</v>
      </c>
    </row>
    <row r="15" spans="1:10" x14ac:dyDescent="0.45">
      <c r="A15">
        <v>1</v>
      </c>
    </row>
    <row r="16" spans="1:10" x14ac:dyDescent="0.45">
      <c r="A16">
        <v>0</v>
      </c>
    </row>
    <row r="17" spans="1:7" x14ac:dyDescent="0.45">
      <c r="A17">
        <v>1</v>
      </c>
    </row>
    <row r="18" spans="1:7" x14ac:dyDescent="0.45">
      <c r="A18">
        <v>2</v>
      </c>
    </row>
    <row r="19" spans="1:7" x14ac:dyDescent="0.45">
      <c r="A19">
        <v>3</v>
      </c>
    </row>
    <row r="20" spans="1:7" x14ac:dyDescent="0.45">
      <c r="A20">
        <v>2</v>
      </c>
    </row>
    <row r="21" spans="1:7" x14ac:dyDescent="0.45">
      <c r="A21">
        <v>2</v>
      </c>
    </row>
    <row r="22" spans="1:7" x14ac:dyDescent="0.45">
      <c r="A22">
        <v>1</v>
      </c>
    </row>
    <row r="23" spans="1:7" x14ac:dyDescent="0.45">
      <c r="A23">
        <v>1</v>
      </c>
    </row>
    <row r="24" spans="1:7" x14ac:dyDescent="0.45">
      <c r="A24">
        <v>0</v>
      </c>
    </row>
    <row r="25" spans="1:7" x14ac:dyDescent="0.45">
      <c r="A25">
        <v>0</v>
      </c>
    </row>
    <row r="26" spans="1:7" x14ac:dyDescent="0.45">
      <c r="A26">
        <v>0</v>
      </c>
    </row>
    <row r="27" spans="1:7" x14ac:dyDescent="0.45">
      <c r="A27">
        <v>1</v>
      </c>
    </row>
    <row r="28" spans="1:7" x14ac:dyDescent="0.45">
      <c r="A28">
        <v>1</v>
      </c>
    </row>
    <row r="29" spans="1:7" x14ac:dyDescent="0.45">
      <c r="A29">
        <v>3</v>
      </c>
    </row>
    <row r="30" spans="1:7" ht="14.65" thickBot="1" x14ac:dyDescent="0.5">
      <c r="A30">
        <v>1</v>
      </c>
      <c r="D30" t="s">
        <v>53</v>
      </c>
      <c r="G30" t="s">
        <v>54</v>
      </c>
    </row>
    <row r="31" spans="1:7" x14ac:dyDescent="0.45">
      <c r="A31">
        <v>3</v>
      </c>
      <c r="D31" s="12" t="s">
        <v>15</v>
      </c>
      <c r="E31" s="12"/>
      <c r="G31" t="s">
        <v>56</v>
      </c>
    </row>
    <row r="32" spans="1:7" x14ac:dyDescent="0.45">
      <c r="A32">
        <v>2</v>
      </c>
      <c r="D32" s="10"/>
      <c r="E32" s="10"/>
      <c r="G32" t="s">
        <v>55</v>
      </c>
    </row>
    <row r="33" spans="1:8" x14ac:dyDescent="0.45">
      <c r="A33">
        <v>2</v>
      </c>
      <c r="D33" s="10" t="s">
        <v>16</v>
      </c>
      <c r="E33" s="10">
        <v>1.2</v>
      </c>
      <c r="G33" t="s">
        <v>57</v>
      </c>
    </row>
    <row r="34" spans="1:8" x14ac:dyDescent="0.45">
      <c r="A34">
        <v>3</v>
      </c>
      <c r="D34" s="10" t="s">
        <v>17</v>
      </c>
      <c r="E34" s="10">
        <v>8.0268007450878143E-2</v>
      </c>
      <c r="G34">
        <f>COUNTIF(A1:A150,"&lt;2")</f>
        <v>96</v>
      </c>
      <c r="H34">
        <f>96/150</f>
        <v>0.64</v>
      </c>
    </row>
    <row r="35" spans="1:8" x14ac:dyDescent="0.45">
      <c r="A35">
        <v>1</v>
      </c>
      <c r="D35" s="10" t="s">
        <v>18</v>
      </c>
      <c r="E35" s="10">
        <v>1</v>
      </c>
    </row>
    <row r="36" spans="1:8" x14ac:dyDescent="0.45">
      <c r="A36">
        <v>1</v>
      </c>
      <c r="D36" s="10" t="s">
        <v>19</v>
      </c>
      <c r="E36" s="10">
        <v>1</v>
      </c>
    </row>
    <row r="37" spans="1:8" x14ac:dyDescent="0.45">
      <c r="A37">
        <v>1</v>
      </c>
      <c r="D37" s="10" t="s">
        <v>20</v>
      </c>
      <c r="E37" s="10">
        <v>0.98307830462284862</v>
      </c>
    </row>
    <row r="38" spans="1:8" x14ac:dyDescent="0.45">
      <c r="A38">
        <v>1</v>
      </c>
      <c r="D38" s="10" t="s">
        <v>21</v>
      </c>
      <c r="E38" s="10">
        <v>0.96644295302013428</v>
      </c>
    </row>
    <row r="39" spans="1:8" x14ac:dyDescent="0.45">
      <c r="A39">
        <v>2</v>
      </c>
      <c r="D39" s="10" t="s">
        <v>22</v>
      </c>
      <c r="E39" s="10">
        <v>-0.88533527149598257</v>
      </c>
    </row>
    <row r="40" spans="1:8" x14ac:dyDescent="0.45">
      <c r="A40">
        <v>2</v>
      </c>
      <c r="D40" s="10" t="s">
        <v>23</v>
      </c>
      <c r="E40" s="10">
        <v>0.36083568120834519</v>
      </c>
    </row>
    <row r="41" spans="1:8" x14ac:dyDescent="0.45">
      <c r="A41">
        <v>3</v>
      </c>
      <c r="D41" s="10" t="s">
        <v>24</v>
      </c>
      <c r="E41" s="10">
        <v>3</v>
      </c>
    </row>
    <row r="42" spans="1:8" x14ac:dyDescent="0.45">
      <c r="A42">
        <v>1</v>
      </c>
      <c r="D42" s="10" t="s">
        <v>25</v>
      </c>
      <c r="E42" s="10">
        <v>0</v>
      </c>
    </row>
    <row r="43" spans="1:8" x14ac:dyDescent="0.45">
      <c r="A43">
        <v>3</v>
      </c>
      <c r="D43" s="10" t="s">
        <v>26</v>
      </c>
      <c r="E43" s="10">
        <v>3</v>
      </c>
    </row>
    <row r="44" spans="1:8" x14ac:dyDescent="0.45">
      <c r="A44">
        <v>3</v>
      </c>
      <c r="D44" s="10" t="s">
        <v>27</v>
      </c>
      <c r="E44" s="10">
        <v>180</v>
      </c>
    </row>
    <row r="45" spans="1:8" ht="14.65" thickBot="1" x14ac:dyDescent="0.5">
      <c r="A45">
        <v>0</v>
      </c>
      <c r="D45" s="11" t="s">
        <v>28</v>
      </c>
      <c r="E45" s="11">
        <v>150</v>
      </c>
    </row>
    <row r="46" spans="1:8" x14ac:dyDescent="0.45">
      <c r="A46">
        <v>0</v>
      </c>
    </row>
    <row r="47" spans="1:8" x14ac:dyDescent="0.45">
      <c r="A47">
        <v>0</v>
      </c>
    </row>
    <row r="48" spans="1:8" x14ac:dyDescent="0.45">
      <c r="A48">
        <v>1</v>
      </c>
    </row>
    <row r="49" spans="1:1" x14ac:dyDescent="0.45">
      <c r="A49">
        <v>1</v>
      </c>
    </row>
    <row r="50" spans="1:1" x14ac:dyDescent="0.45">
      <c r="A50">
        <v>2</v>
      </c>
    </row>
    <row r="51" spans="1:1" x14ac:dyDescent="0.45">
      <c r="A51">
        <v>0</v>
      </c>
    </row>
    <row r="52" spans="1:1" x14ac:dyDescent="0.45">
      <c r="A52">
        <v>1</v>
      </c>
    </row>
    <row r="53" spans="1:1" x14ac:dyDescent="0.45">
      <c r="A53">
        <v>2</v>
      </c>
    </row>
    <row r="54" spans="1:1" x14ac:dyDescent="0.45">
      <c r="A54">
        <v>0</v>
      </c>
    </row>
    <row r="55" spans="1:1" x14ac:dyDescent="0.45">
      <c r="A55">
        <v>0</v>
      </c>
    </row>
    <row r="56" spans="1:1" x14ac:dyDescent="0.45">
      <c r="A56">
        <v>1</v>
      </c>
    </row>
    <row r="57" spans="1:1" x14ac:dyDescent="0.45">
      <c r="A57">
        <v>1</v>
      </c>
    </row>
    <row r="58" spans="1:1" x14ac:dyDescent="0.45">
      <c r="A58">
        <v>1</v>
      </c>
    </row>
    <row r="59" spans="1:1" x14ac:dyDescent="0.45">
      <c r="A59">
        <v>3</v>
      </c>
    </row>
    <row r="60" spans="1:1" x14ac:dyDescent="0.45">
      <c r="A60">
        <v>2</v>
      </c>
    </row>
    <row r="61" spans="1:1" x14ac:dyDescent="0.45">
      <c r="A61">
        <v>3</v>
      </c>
    </row>
    <row r="62" spans="1:1" x14ac:dyDescent="0.45">
      <c r="A62">
        <v>2</v>
      </c>
    </row>
    <row r="63" spans="1:1" x14ac:dyDescent="0.45">
      <c r="A63">
        <v>1</v>
      </c>
    </row>
    <row r="64" spans="1:1" x14ac:dyDescent="0.45">
      <c r="A64">
        <v>1</v>
      </c>
    </row>
    <row r="65" spans="1:1" x14ac:dyDescent="0.45">
      <c r="A65">
        <v>0</v>
      </c>
    </row>
    <row r="66" spans="1:1" x14ac:dyDescent="0.45">
      <c r="A66">
        <v>0</v>
      </c>
    </row>
    <row r="67" spans="1:1" x14ac:dyDescent="0.45">
      <c r="A67">
        <v>2</v>
      </c>
    </row>
    <row r="68" spans="1:1" x14ac:dyDescent="0.45">
      <c r="A68">
        <v>2</v>
      </c>
    </row>
    <row r="69" spans="1:1" x14ac:dyDescent="0.45">
      <c r="A69">
        <v>3</v>
      </c>
    </row>
    <row r="70" spans="1:1" x14ac:dyDescent="0.45">
      <c r="A70">
        <v>3</v>
      </c>
    </row>
    <row r="71" spans="1:1" x14ac:dyDescent="0.45">
      <c r="A71">
        <v>1</v>
      </c>
    </row>
    <row r="72" spans="1:1" x14ac:dyDescent="0.45">
      <c r="A72">
        <v>1</v>
      </c>
    </row>
    <row r="73" spans="1:1" x14ac:dyDescent="0.45">
      <c r="A73">
        <v>0</v>
      </c>
    </row>
    <row r="74" spans="1:1" x14ac:dyDescent="0.45">
      <c r="A74">
        <v>0</v>
      </c>
    </row>
    <row r="75" spans="1:1" x14ac:dyDescent="0.45">
      <c r="A75">
        <v>0</v>
      </c>
    </row>
    <row r="76" spans="1:1" x14ac:dyDescent="0.45">
      <c r="A76">
        <v>0</v>
      </c>
    </row>
    <row r="77" spans="1:1" x14ac:dyDescent="0.45">
      <c r="A77">
        <v>0</v>
      </c>
    </row>
    <row r="78" spans="1:1" x14ac:dyDescent="0.45">
      <c r="A78">
        <v>1</v>
      </c>
    </row>
    <row r="79" spans="1:1" x14ac:dyDescent="0.45">
      <c r="A79">
        <v>0</v>
      </c>
    </row>
    <row r="80" spans="1:1" x14ac:dyDescent="0.45">
      <c r="A80">
        <v>1</v>
      </c>
    </row>
    <row r="81" spans="1:1" x14ac:dyDescent="0.45">
      <c r="A81">
        <v>1</v>
      </c>
    </row>
    <row r="82" spans="1:1" x14ac:dyDescent="0.45">
      <c r="A82">
        <v>0</v>
      </c>
    </row>
    <row r="83" spans="1:1" x14ac:dyDescent="0.45">
      <c r="A83">
        <v>0</v>
      </c>
    </row>
    <row r="84" spans="1:1" x14ac:dyDescent="0.45">
      <c r="A84">
        <v>0</v>
      </c>
    </row>
    <row r="85" spans="1:1" x14ac:dyDescent="0.45">
      <c r="A85">
        <v>2</v>
      </c>
    </row>
    <row r="86" spans="1:1" x14ac:dyDescent="0.45">
      <c r="A86">
        <v>0</v>
      </c>
    </row>
    <row r="87" spans="1:1" x14ac:dyDescent="0.45">
      <c r="A87">
        <v>0</v>
      </c>
    </row>
    <row r="88" spans="1:1" x14ac:dyDescent="0.45">
      <c r="A88">
        <v>3</v>
      </c>
    </row>
    <row r="89" spans="1:1" x14ac:dyDescent="0.45">
      <c r="A89">
        <v>0</v>
      </c>
    </row>
    <row r="90" spans="1:1" x14ac:dyDescent="0.45">
      <c r="A90">
        <v>0</v>
      </c>
    </row>
    <row r="91" spans="1:1" x14ac:dyDescent="0.45">
      <c r="A91">
        <v>0</v>
      </c>
    </row>
    <row r="92" spans="1:1" x14ac:dyDescent="0.45">
      <c r="A92">
        <v>1</v>
      </c>
    </row>
    <row r="93" spans="1:1" x14ac:dyDescent="0.45">
      <c r="A93">
        <v>1</v>
      </c>
    </row>
    <row r="94" spans="1:1" x14ac:dyDescent="0.45">
      <c r="A94">
        <v>3</v>
      </c>
    </row>
    <row r="95" spans="1:1" x14ac:dyDescent="0.45">
      <c r="A95">
        <v>1</v>
      </c>
    </row>
    <row r="96" spans="1:1" x14ac:dyDescent="0.45">
      <c r="A96">
        <v>1</v>
      </c>
    </row>
    <row r="97" spans="1:1" x14ac:dyDescent="0.45">
      <c r="A97">
        <v>0</v>
      </c>
    </row>
    <row r="98" spans="1:1" x14ac:dyDescent="0.45">
      <c r="A98">
        <v>0</v>
      </c>
    </row>
    <row r="99" spans="1:1" x14ac:dyDescent="0.45">
      <c r="A99">
        <v>0</v>
      </c>
    </row>
    <row r="100" spans="1:1" x14ac:dyDescent="0.45">
      <c r="A100">
        <v>1</v>
      </c>
    </row>
    <row r="101" spans="1:1" x14ac:dyDescent="0.45">
      <c r="A101">
        <v>1</v>
      </c>
    </row>
    <row r="102" spans="1:1" x14ac:dyDescent="0.45">
      <c r="A102">
        <v>1</v>
      </c>
    </row>
    <row r="103" spans="1:1" x14ac:dyDescent="0.45">
      <c r="A103">
        <v>1</v>
      </c>
    </row>
    <row r="104" spans="1:1" x14ac:dyDescent="0.45">
      <c r="A104">
        <v>3</v>
      </c>
    </row>
    <row r="105" spans="1:1" x14ac:dyDescent="0.45">
      <c r="A105">
        <v>2</v>
      </c>
    </row>
    <row r="106" spans="1:1" x14ac:dyDescent="0.45">
      <c r="A106">
        <v>1</v>
      </c>
    </row>
    <row r="107" spans="1:1" x14ac:dyDescent="0.45">
      <c r="A107">
        <v>1</v>
      </c>
    </row>
    <row r="108" spans="1:1" x14ac:dyDescent="0.45">
      <c r="A108">
        <v>0</v>
      </c>
    </row>
    <row r="109" spans="1:1" x14ac:dyDescent="0.45">
      <c r="A109">
        <v>1</v>
      </c>
    </row>
    <row r="110" spans="1:1" x14ac:dyDescent="0.45">
      <c r="A110">
        <v>2</v>
      </c>
    </row>
    <row r="111" spans="1:1" x14ac:dyDescent="0.45">
      <c r="A111">
        <v>2</v>
      </c>
    </row>
    <row r="112" spans="1:1" x14ac:dyDescent="0.45">
      <c r="A112">
        <v>0</v>
      </c>
    </row>
    <row r="113" spans="1:1" x14ac:dyDescent="0.45">
      <c r="A113">
        <v>1</v>
      </c>
    </row>
    <row r="114" spans="1:1" x14ac:dyDescent="0.45">
      <c r="A114">
        <v>2</v>
      </c>
    </row>
    <row r="115" spans="1:1" x14ac:dyDescent="0.45">
      <c r="A115">
        <v>0</v>
      </c>
    </row>
    <row r="116" spans="1:1" x14ac:dyDescent="0.45">
      <c r="A116">
        <v>0</v>
      </c>
    </row>
    <row r="117" spans="1:1" x14ac:dyDescent="0.45">
      <c r="A117">
        <v>2</v>
      </c>
    </row>
    <row r="118" spans="1:1" x14ac:dyDescent="0.45">
      <c r="A118">
        <v>2</v>
      </c>
    </row>
    <row r="119" spans="1:1" x14ac:dyDescent="0.45">
      <c r="A119">
        <v>2</v>
      </c>
    </row>
    <row r="120" spans="1:1" x14ac:dyDescent="0.45">
      <c r="A120">
        <v>1</v>
      </c>
    </row>
    <row r="121" spans="1:1" x14ac:dyDescent="0.45">
      <c r="A121">
        <v>1</v>
      </c>
    </row>
    <row r="122" spans="1:1" x14ac:dyDescent="0.45">
      <c r="A122">
        <v>0</v>
      </c>
    </row>
    <row r="123" spans="1:1" x14ac:dyDescent="0.45">
      <c r="A123">
        <v>0</v>
      </c>
    </row>
    <row r="124" spans="1:1" x14ac:dyDescent="0.45">
      <c r="A124">
        <v>1</v>
      </c>
    </row>
    <row r="125" spans="1:1" x14ac:dyDescent="0.45">
      <c r="A125">
        <v>1</v>
      </c>
    </row>
    <row r="126" spans="1:1" x14ac:dyDescent="0.45">
      <c r="A126">
        <v>0</v>
      </c>
    </row>
    <row r="127" spans="1:1" x14ac:dyDescent="0.45">
      <c r="A127">
        <v>2</v>
      </c>
    </row>
    <row r="128" spans="1:1" x14ac:dyDescent="0.45">
      <c r="A128">
        <v>2</v>
      </c>
    </row>
    <row r="129" spans="1:1" x14ac:dyDescent="0.45">
      <c r="A129">
        <v>2</v>
      </c>
    </row>
    <row r="130" spans="1:1" x14ac:dyDescent="0.45">
      <c r="A130">
        <v>1</v>
      </c>
    </row>
    <row r="131" spans="1:1" x14ac:dyDescent="0.45">
      <c r="A131">
        <v>1</v>
      </c>
    </row>
    <row r="132" spans="1:1" x14ac:dyDescent="0.45">
      <c r="A132">
        <v>0</v>
      </c>
    </row>
    <row r="133" spans="1:1" x14ac:dyDescent="0.45">
      <c r="A133">
        <v>2</v>
      </c>
    </row>
    <row r="134" spans="1:1" x14ac:dyDescent="0.45">
      <c r="A134">
        <v>2</v>
      </c>
    </row>
    <row r="135" spans="1:1" x14ac:dyDescent="0.45">
      <c r="A135">
        <v>2</v>
      </c>
    </row>
    <row r="136" spans="1:1" x14ac:dyDescent="0.45">
      <c r="A136">
        <v>2</v>
      </c>
    </row>
    <row r="137" spans="1:1" x14ac:dyDescent="0.45">
      <c r="A137">
        <v>1</v>
      </c>
    </row>
    <row r="138" spans="1:1" x14ac:dyDescent="0.45">
      <c r="A138">
        <v>3</v>
      </c>
    </row>
    <row r="139" spans="1:1" x14ac:dyDescent="0.45">
      <c r="A139">
        <v>2</v>
      </c>
    </row>
    <row r="140" spans="1:1" x14ac:dyDescent="0.45">
      <c r="A140">
        <v>2</v>
      </c>
    </row>
    <row r="141" spans="1:1" x14ac:dyDescent="0.45">
      <c r="A141">
        <v>1</v>
      </c>
    </row>
    <row r="142" spans="1:1" x14ac:dyDescent="0.45">
      <c r="A142">
        <v>1</v>
      </c>
    </row>
    <row r="143" spans="1:1" x14ac:dyDescent="0.45">
      <c r="A143">
        <v>2</v>
      </c>
    </row>
    <row r="144" spans="1:1" x14ac:dyDescent="0.45">
      <c r="A144">
        <v>2</v>
      </c>
    </row>
    <row r="145" spans="1:1" x14ac:dyDescent="0.45">
      <c r="A145">
        <v>3</v>
      </c>
    </row>
    <row r="146" spans="1:1" x14ac:dyDescent="0.45">
      <c r="A146">
        <v>1</v>
      </c>
    </row>
    <row r="147" spans="1:1" x14ac:dyDescent="0.45">
      <c r="A147">
        <v>1</v>
      </c>
    </row>
    <row r="148" spans="1:1" x14ac:dyDescent="0.45">
      <c r="A148">
        <v>1</v>
      </c>
    </row>
    <row r="149" spans="1:1" x14ac:dyDescent="0.45">
      <c r="A149">
        <v>1</v>
      </c>
    </row>
    <row r="150" spans="1:1" x14ac:dyDescent="0.45">
      <c r="A150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CA55-7498-423F-A174-F29CF62D0D06}">
  <dimension ref="A1:K57"/>
  <sheetViews>
    <sheetView topLeftCell="A25" workbookViewId="0">
      <selection activeCell="P43" sqref="P43"/>
    </sheetView>
  </sheetViews>
  <sheetFormatPr defaultRowHeight="14.25" x14ac:dyDescent="0.45"/>
  <sheetData>
    <row r="1" spans="1:11" x14ac:dyDescent="0.45">
      <c r="A1">
        <v>2.89</v>
      </c>
      <c r="C1" t="s">
        <v>58</v>
      </c>
      <c r="D1" t="s">
        <v>59</v>
      </c>
    </row>
    <row r="2" spans="1:11" x14ac:dyDescent="0.45">
      <c r="A2">
        <v>2.94</v>
      </c>
      <c r="D2" t="s">
        <v>35</v>
      </c>
    </row>
    <row r="3" spans="1:11" x14ac:dyDescent="0.45">
      <c r="A3">
        <v>3.4</v>
      </c>
    </row>
    <row r="4" spans="1:11" x14ac:dyDescent="0.45">
      <c r="A4">
        <v>3.45</v>
      </c>
      <c r="D4" s="13" t="s">
        <v>60</v>
      </c>
    </row>
    <row r="5" spans="1:11" x14ac:dyDescent="0.45">
      <c r="A5">
        <v>3.24</v>
      </c>
    </row>
    <row r="6" spans="1:11" x14ac:dyDescent="0.45">
      <c r="A6">
        <v>3.14</v>
      </c>
      <c r="D6" t="s">
        <v>4</v>
      </c>
      <c r="E6">
        <f>COUNT(A1:A50)</f>
        <v>50</v>
      </c>
    </row>
    <row r="7" spans="1:11" x14ac:dyDescent="0.45">
      <c r="A7">
        <v>3.12</v>
      </c>
      <c r="D7" t="s">
        <v>36</v>
      </c>
      <c r="E7">
        <f>MAX(A1:A50)</f>
        <v>3.48</v>
      </c>
    </row>
    <row r="8" spans="1:11" x14ac:dyDescent="0.45">
      <c r="A8">
        <v>3.03</v>
      </c>
      <c r="D8" t="s">
        <v>37</v>
      </c>
      <c r="E8">
        <f>MIN(A1:A50)</f>
        <v>2.56</v>
      </c>
    </row>
    <row r="9" spans="1:11" x14ac:dyDescent="0.45">
      <c r="A9">
        <v>3.28</v>
      </c>
      <c r="D9" t="s">
        <v>38</v>
      </c>
      <c r="E9">
        <f>E7-E8</f>
        <v>0.91999999999999993</v>
      </c>
    </row>
    <row r="10" spans="1:11" x14ac:dyDescent="0.45">
      <c r="A10">
        <v>3.12</v>
      </c>
      <c r="D10" t="s">
        <v>61</v>
      </c>
      <c r="F10">
        <f>INT(LOG(50,2))+1</f>
        <v>6</v>
      </c>
    </row>
    <row r="11" spans="1:11" x14ac:dyDescent="0.45">
      <c r="A11">
        <v>3.21</v>
      </c>
      <c r="D11" t="s">
        <v>40</v>
      </c>
      <c r="F11">
        <f>(E7-E8)/6</f>
        <v>0.15333333333333332</v>
      </c>
      <c r="G11" t="s">
        <v>62</v>
      </c>
    </row>
    <row r="12" spans="1:11" x14ac:dyDescent="0.45">
      <c r="A12">
        <v>3.17</v>
      </c>
    </row>
    <row r="13" spans="1:11" x14ac:dyDescent="0.45">
      <c r="A13">
        <v>3.02</v>
      </c>
    </row>
    <row r="14" spans="1:11" x14ac:dyDescent="0.45">
      <c r="A14">
        <v>2.94</v>
      </c>
      <c r="D14" t="s">
        <v>41</v>
      </c>
      <c r="G14" t="s">
        <v>2</v>
      </c>
    </row>
    <row r="15" spans="1:11" x14ac:dyDescent="0.45">
      <c r="A15">
        <v>3</v>
      </c>
      <c r="D15">
        <v>2.5499999999999998</v>
      </c>
      <c r="G15" t="s">
        <v>44</v>
      </c>
      <c r="H15" t="s">
        <v>6</v>
      </c>
      <c r="I15" t="s">
        <v>7</v>
      </c>
      <c r="J15" t="s">
        <v>8</v>
      </c>
      <c r="K15" t="s">
        <v>9</v>
      </c>
    </row>
    <row r="16" spans="1:11" x14ac:dyDescent="0.45">
      <c r="A16">
        <v>2.72</v>
      </c>
      <c r="D16">
        <f>D15+0.16</f>
        <v>2.71</v>
      </c>
      <c r="G16" t="str">
        <f>CONCATENATE("]",D15,";",D16,"]")</f>
        <v>]2,55;2,71]</v>
      </c>
      <c r="H16">
        <f t="array" ref="H16:H21">FREQUENCY(A1:A50,D16:D21)</f>
        <v>3</v>
      </c>
      <c r="I16" s="14">
        <f>H16/50</f>
        <v>0.06</v>
      </c>
      <c r="J16">
        <f>H16</f>
        <v>3</v>
      </c>
      <c r="K16" s="15">
        <f>I16</f>
        <v>0.06</v>
      </c>
    </row>
    <row r="17" spans="1:11" x14ac:dyDescent="0.45">
      <c r="A17">
        <v>3.01</v>
      </c>
      <c r="D17">
        <f t="shared" ref="D17:D21" si="0">D16+0.16</f>
        <v>2.87</v>
      </c>
      <c r="G17" t="str">
        <f t="shared" ref="G17:G21" si="1">CONCATENATE("]",D16,";",D17,"]")</f>
        <v>]2,71;2,87]</v>
      </c>
      <c r="H17">
        <v>8</v>
      </c>
      <c r="I17" s="14">
        <f t="shared" ref="I17:I21" si="2">H17/50</f>
        <v>0.16</v>
      </c>
      <c r="J17">
        <f>J16+H17</f>
        <v>11</v>
      </c>
      <c r="K17" s="15">
        <f>K16+I17</f>
        <v>0.22</v>
      </c>
    </row>
    <row r="18" spans="1:11" x14ac:dyDescent="0.45">
      <c r="A18">
        <v>2.96</v>
      </c>
      <c r="D18">
        <f t="shared" si="0"/>
        <v>3.0300000000000002</v>
      </c>
      <c r="G18" t="str">
        <f t="shared" si="1"/>
        <v>]2,87;3,03]</v>
      </c>
      <c r="H18">
        <v>19</v>
      </c>
      <c r="I18" s="14">
        <f t="shared" si="2"/>
        <v>0.38</v>
      </c>
      <c r="J18">
        <f t="shared" ref="J18:J21" si="3">J17+H18</f>
        <v>30</v>
      </c>
      <c r="K18" s="15">
        <f t="shared" ref="K18:K21" si="4">K17+I18</f>
        <v>0.6</v>
      </c>
    </row>
    <row r="19" spans="1:11" x14ac:dyDescent="0.45">
      <c r="A19">
        <v>3</v>
      </c>
      <c r="D19">
        <f t="shared" si="0"/>
        <v>3.1900000000000004</v>
      </c>
      <c r="G19" t="str">
        <f t="shared" si="1"/>
        <v>]3,03;3,19]</v>
      </c>
      <c r="H19">
        <v>8</v>
      </c>
      <c r="I19" s="14">
        <f t="shared" si="2"/>
        <v>0.16</v>
      </c>
      <c r="J19">
        <f t="shared" si="3"/>
        <v>38</v>
      </c>
      <c r="K19" s="15">
        <f t="shared" si="4"/>
        <v>0.76</v>
      </c>
    </row>
    <row r="20" spans="1:11" x14ac:dyDescent="0.45">
      <c r="A20">
        <v>3.25</v>
      </c>
      <c r="D20">
        <f t="shared" si="0"/>
        <v>3.3500000000000005</v>
      </c>
      <c r="G20" t="str">
        <f t="shared" si="1"/>
        <v>]3,19;3,35]</v>
      </c>
      <c r="H20">
        <v>9</v>
      </c>
      <c r="I20" s="14">
        <f t="shared" si="2"/>
        <v>0.18</v>
      </c>
      <c r="J20">
        <f t="shared" si="3"/>
        <v>47</v>
      </c>
      <c r="K20" s="15">
        <f t="shared" si="4"/>
        <v>0.94</v>
      </c>
    </row>
    <row r="21" spans="1:11" x14ac:dyDescent="0.45">
      <c r="A21">
        <v>2.73</v>
      </c>
      <c r="D21">
        <f t="shared" si="0"/>
        <v>3.5100000000000007</v>
      </c>
      <c r="G21" t="str">
        <f t="shared" si="1"/>
        <v>]3,35;3,51]</v>
      </c>
      <c r="H21">
        <v>3</v>
      </c>
      <c r="I21" s="14">
        <f t="shared" si="2"/>
        <v>0.06</v>
      </c>
      <c r="J21">
        <f t="shared" si="3"/>
        <v>50</v>
      </c>
      <c r="K21" s="15">
        <f t="shared" si="4"/>
        <v>1</v>
      </c>
    </row>
    <row r="22" spans="1:11" x14ac:dyDescent="0.45">
      <c r="A22">
        <v>2.86</v>
      </c>
      <c r="G22" s="5" t="s">
        <v>10</v>
      </c>
      <c r="H22">
        <f>SUM(H16:H21)</f>
        <v>50</v>
      </c>
      <c r="I22" s="15">
        <f>SUM(I16:I21)</f>
        <v>1</v>
      </c>
    </row>
    <row r="23" spans="1:11" x14ac:dyDescent="0.45">
      <c r="A23">
        <v>2.99</v>
      </c>
    </row>
    <row r="24" spans="1:11" x14ac:dyDescent="0.45">
      <c r="A24">
        <v>2.97</v>
      </c>
      <c r="D24" t="s">
        <v>63</v>
      </c>
    </row>
    <row r="25" spans="1:11" x14ac:dyDescent="0.45">
      <c r="A25">
        <v>3.48</v>
      </c>
    </row>
    <row r="26" spans="1:11" x14ac:dyDescent="0.45">
      <c r="A26">
        <v>2.96</v>
      </c>
    </row>
    <row r="27" spans="1:11" x14ac:dyDescent="0.45">
      <c r="A27">
        <v>2.57</v>
      </c>
    </row>
    <row r="28" spans="1:11" x14ac:dyDescent="0.45">
      <c r="A28">
        <v>2.87</v>
      </c>
    </row>
    <row r="29" spans="1:11" x14ac:dyDescent="0.45">
      <c r="A29">
        <v>3.24</v>
      </c>
    </row>
    <row r="30" spans="1:11" x14ac:dyDescent="0.45">
      <c r="A30">
        <v>2.88</v>
      </c>
    </row>
    <row r="31" spans="1:11" x14ac:dyDescent="0.45">
      <c r="A31">
        <v>3.19</v>
      </c>
    </row>
    <row r="32" spans="1:11" x14ac:dyDescent="0.45">
      <c r="A32">
        <v>2.7</v>
      </c>
    </row>
    <row r="33" spans="1:7" x14ac:dyDescent="0.45">
      <c r="A33">
        <v>3.26</v>
      </c>
    </row>
    <row r="34" spans="1:7" x14ac:dyDescent="0.45">
      <c r="A34">
        <v>2.96</v>
      </c>
    </row>
    <row r="35" spans="1:7" x14ac:dyDescent="0.45">
      <c r="A35">
        <v>2.94</v>
      </c>
    </row>
    <row r="36" spans="1:7" x14ac:dyDescent="0.45">
      <c r="A36">
        <v>3.14</v>
      </c>
    </row>
    <row r="37" spans="1:7" x14ac:dyDescent="0.45">
      <c r="A37">
        <v>3.21</v>
      </c>
    </row>
    <row r="38" spans="1:7" x14ac:dyDescent="0.45">
      <c r="A38">
        <v>2.9</v>
      </c>
    </row>
    <row r="39" spans="1:7" x14ac:dyDescent="0.45">
      <c r="A39">
        <v>2.79</v>
      </c>
    </row>
    <row r="40" spans="1:7" x14ac:dyDescent="0.45">
      <c r="A40">
        <v>3.29</v>
      </c>
    </row>
    <row r="41" spans="1:7" x14ac:dyDescent="0.45">
      <c r="A41">
        <v>2.98</v>
      </c>
    </row>
    <row r="42" spans="1:7" ht="14.65" thickBot="1" x14ac:dyDescent="0.5">
      <c r="A42">
        <v>3.1</v>
      </c>
      <c r="D42" t="s">
        <v>12</v>
      </c>
      <c r="G42" t="s">
        <v>64</v>
      </c>
    </row>
    <row r="43" spans="1:7" x14ac:dyDescent="0.45">
      <c r="A43">
        <v>3.22</v>
      </c>
      <c r="D43" s="12" t="s">
        <v>15</v>
      </c>
      <c r="E43" s="12"/>
      <c r="G43" t="s">
        <v>65</v>
      </c>
    </row>
    <row r="44" spans="1:7" x14ac:dyDescent="0.45">
      <c r="A44">
        <v>2.75</v>
      </c>
      <c r="D44" s="10"/>
      <c r="E44" s="10"/>
    </row>
    <row r="45" spans="1:7" x14ac:dyDescent="0.45">
      <c r="A45">
        <v>2.92</v>
      </c>
      <c r="D45" s="10" t="s">
        <v>16</v>
      </c>
      <c r="E45" s="10">
        <v>3.0215999999999998</v>
      </c>
    </row>
    <row r="46" spans="1:7" x14ac:dyDescent="0.45">
      <c r="A46">
        <v>3.04</v>
      </c>
      <c r="D46" s="10" t="s">
        <v>17</v>
      </c>
      <c r="E46" s="10">
        <v>2.9541199179782665E-2</v>
      </c>
    </row>
    <row r="47" spans="1:7" x14ac:dyDescent="0.45">
      <c r="A47">
        <v>2.56</v>
      </c>
      <c r="D47" s="10" t="s">
        <v>18</v>
      </c>
      <c r="E47" s="10">
        <v>3</v>
      </c>
    </row>
    <row r="48" spans="1:7" x14ac:dyDescent="0.45">
      <c r="A48">
        <v>3.02</v>
      </c>
      <c r="D48" s="10" t="s">
        <v>19</v>
      </c>
      <c r="E48" s="10">
        <v>2.94</v>
      </c>
    </row>
    <row r="49" spans="1:5" x14ac:dyDescent="0.45">
      <c r="A49">
        <v>2.82</v>
      </c>
      <c r="D49" s="10" t="s">
        <v>20</v>
      </c>
      <c r="E49" s="10">
        <v>0.20888782264406799</v>
      </c>
    </row>
    <row r="50" spans="1:5" x14ac:dyDescent="0.45">
      <c r="A50">
        <v>2.85</v>
      </c>
      <c r="D50" s="10" t="s">
        <v>21</v>
      </c>
      <c r="E50" s="10">
        <v>4.3634122448979608E-2</v>
      </c>
    </row>
    <row r="51" spans="1:5" x14ac:dyDescent="0.45">
      <c r="D51" s="10" t="s">
        <v>22</v>
      </c>
      <c r="E51" s="10">
        <v>-0.15268257627129511</v>
      </c>
    </row>
    <row r="52" spans="1:5" x14ac:dyDescent="0.45">
      <c r="D52" s="10" t="s">
        <v>23</v>
      </c>
      <c r="E52" s="10">
        <v>1.6426841425273255E-2</v>
      </c>
    </row>
    <row r="53" spans="1:5" x14ac:dyDescent="0.45">
      <c r="D53" s="10" t="s">
        <v>24</v>
      </c>
      <c r="E53" s="10">
        <v>0.91999999999999993</v>
      </c>
    </row>
    <row r="54" spans="1:5" x14ac:dyDescent="0.45">
      <c r="D54" s="10" t="s">
        <v>25</v>
      </c>
      <c r="E54" s="10">
        <v>2.56</v>
      </c>
    </row>
    <row r="55" spans="1:5" x14ac:dyDescent="0.45">
      <c r="D55" s="10" t="s">
        <v>26</v>
      </c>
      <c r="E55" s="10">
        <v>3.48</v>
      </c>
    </row>
    <row r="56" spans="1:5" x14ac:dyDescent="0.45">
      <c r="D56" s="10" t="s">
        <v>27</v>
      </c>
      <c r="E56" s="10">
        <v>151.07999999999998</v>
      </c>
    </row>
    <row r="57" spans="1:5" ht="14.65" thickBot="1" x14ac:dyDescent="0.5">
      <c r="D57" s="11" t="s">
        <v>28</v>
      </c>
      <c r="E57" s="11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3829-139D-4907-9BD8-55F326CB8104}">
  <dimension ref="A1:T150"/>
  <sheetViews>
    <sheetView workbookViewId="0">
      <selection activeCell="P21" sqref="P21"/>
    </sheetView>
  </sheetViews>
  <sheetFormatPr defaultRowHeight="14.25" x14ac:dyDescent="0.45"/>
  <sheetData>
    <row r="1" spans="1:20" x14ac:dyDescent="0.45">
      <c r="A1" s="1">
        <v>2</v>
      </c>
      <c r="C1" t="s">
        <v>66</v>
      </c>
      <c r="D1" t="s">
        <v>67</v>
      </c>
    </row>
    <row r="2" spans="1:20" x14ac:dyDescent="0.45">
      <c r="A2" s="1">
        <v>1</v>
      </c>
      <c r="D2" t="s">
        <v>50</v>
      </c>
      <c r="H2" t="s">
        <v>68</v>
      </c>
      <c r="I2">
        <f>COUNT(A1:A150)</f>
        <v>150</v>
      </c>
    </row>
    <row r="3" spans="1:20" x14ac:dyDescent="0.45">
      <c r="A3" s="1">
        <v>0</v>
      </c>
    </row>
    <row r="4" spans="1:20" ht="14.65" thickBot="1" x14ac:dyDescent="0.5">
      <c r="A4" s="1">
        <v>0</v>
      </c>
      <c r="D4" t="s">
        <v>2</v>
      </c>
      <c r="L4" t="s">
        <v>12</v>
      </c>
      <c r="O4" t="s">
        <v>71</v>
      </c>
    </row>
    <row r="5" spans="1:20" x14ac:dyDescent="0.45">
      <c r="A5" s="1">
        <v>1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L5" s="12" t="s">
        <v>15</v>
      </c>
      <c r="M5" s="12"/>
      <c r="O5" t="s">
        <v>72</v>
      </c>
    </row>
    <row r="6" spans="1:20" x14ac:dyDescent="0.45">
      <c r="A6" s="1">
        <v>4</v>
      </c>
      <c r="D6">
        <v>0</v>
      </c>
      <c r="E6">
        <f>COUNTIF($A$1:$A$150,D6)</f>
        <v>64</v>
      </c>
      <c r="F6" s="7">
        <f>E6/150</f>
        <v>0.42666666666666669</v>
      </c>
      <c r="G6">
        <f>E6</f>
        <v>64</v>
      </c>
      <c r="H6" s="8">
        <f>F6</f>
        <v>0.42666666666666669</v>
      </c>
      <c r="L6" s="10"/>
      <c r="M6" s="10"/>
      <c r="O6" t="s">
        <v>70</v>
      </c>
    </row>
    <row r="7" spans="1:20" x14ac:dyDescent="0.45">
      <c r="A7" s="1">
        <v>0</v>
      </c>
      <c r="D7">
        <v>1</v>
      </c>
      <c r="E7">
        <f t="shared" ref="E7:E11" si="0">COUNTIF($A$1:$A$150,D7)</f>
        <v>30</v>
      </c>
      <c r="F7" s="7">
        <f t="shared" ref="F7:F12" si="1">E7/150</f>
        <v>0.2</v>
      </c>
      <c r="G7">
        <f>G6+E7</f>
        <v>94</v>
      </c>
      <c r="H7" s="8">
        <f>H6+F7</f>
        <v>0.62666666666666671</v>
      </c>
      <c r="L7" s="10" t="s">
        <v>16</v>
      </c>
      <c r="M7" s="10">
        <v>1.2533333333333334</v>
      </c>
      <c r="O7" t="s">
        <v>73</v>
      </c>
    </row>
    <row r="8" spans="1:20" x14ac:dyDescent="0.45">
      <c r="A8" s="1">
        <v>1</v>
      </c>
      <c r="D8">
        <v>2</v>
      </c>
      <c r="E8">
        <f t="shared" si="0"/>
        <v>25</v>
      </c>
      <c r="F8" s="7">
        <f t="shared" si="1"/>
        <v>0.16666666666666666</v>
      </c>
      <c r="G8">
        <f t="shared" ref="G8:G11" si="2">G7+E8</f>
        <v>119</v>
      </c>
      <c r="H8" s="8">
        <f t="shared" ref="H8:H11" si="3">H7+F8</f>
        <v>0.79333333333333333</v>
      </c>
      <c r="L8" s="10" t="s">
        <v>17</v>
      </c>
      <c r="M8" s="10">
        <v>0.11240175095034753</v>
      </c>
      <c r="O8">
        <f>COUNTIF(A1:A150,"&gt;=2")</f>
        <v>56</v>
      </c>
      <c r="P8">
        <f>56/150</f>
        <v>0.37333333333333335</v>
      </c>
      <c r="Q8" t="s">
        <v>74</v>
      </c>
    </row>
    <row r="9" spans="1:20" x14ac:dyDescent="0.45">
      <c r="A9" s="1">
        <v>3</v>
      </c>
      <c r="D9">
        <v>3</v>
      </c>
      <c r="E9">
        <f t="shared" si="0"/>
        <v>18</v>
      </c>
      <c r="F9" s="7">
        <f t="shared" si="1"/>
        <v>0.12</v>
      </c>
      <c r="G9">
        <f t="shared" si="2"/>
        <v>137</v>
      </c>
      <c r="H9" s="8">
        <f t="shared" si="3"/>
        <v>0.91333333333333333</v>
      </c>
      <c r="L9" s="10" t="s">
        <v>18</v>
      </c>
      <c r="M9" s="10">
        <v>1</v>
      </c>
    </row>
    <row r="10" spans="1:20" x14ac:dyDescent="0.45">
      <c r="A10" s="1">
        <v>0</v>
      </c>
      <c r="D10">
        <v>4</v>
      </c>
      <c r="E10">
        <f t="shared" si="0"/>
        <v>11</v>
      </c>
      <c r="F10" s="7">
        <f t="shared" si="1"/>
        <v>7.3333333333333334E-2</v>
      </c>
      <c r="G10">
        <f t="shared" si="2"/>
        <v>148</v>
      </c>
      <c r="H10" s="8">
        <f t="shared" si="3"/>
        <v>0.98666666666666669</v>
      </c>
      <c r="L10" s="10" t="s">
        <v>19</v>
      </c>
      <c r="M10" s="10">
        <v>0</v>
      </c>
      <c r="O10" t="s">
        <v>69</v>
      </c>
      <c r="T10" s="8">
        <v>0.62670000000000003</v>
      </c>
    </row>
    <row r="11" spans="1:20" x14ac:dyDescent="0.45">
      <c r="A11" s="1">
        <v>2</v>
      </c>
      <c r="D11">
        <v>5</v>
      </c>
      <c r="E11">
        <f t="shared" si="0"/>
        <v>2</v>
      </c>
      <c r="F11" s="7">
        <f t="shared" si="1"/>
        <v>1.3333333333333334E-2</v>
      </c>
      <c r="G11">
        <f t="shared" si="2"/>
        <v>150</v>
      </c>
      <c r="H11" s="8">
        <f t="shared" si="3"/>
        <v>1</v>
      </c>
      <c r="L11" s="10" t="s">
        <v>20</v>
      </c>
      <c r="M11" s="10">
        <v>1.3766346801187281</v>
      </c>
      <c r="O11">
        <f>COUNTIF(A1:A150,"&lt;=1")</f>
        <v>94</v>
      </c>
      <c r="P11">
        <f>94/150</f>
        <v>0.62666666666666671</v>
      </c>
    </row>
    <row r="12" spans="1:20" x14ac:dyDescent="0.45">
      <c r="A12" s="1">
        <v>2</v>
      </c>
      <c r="D12" s="5" t="s">
        <v>10</v>
      </c>
      <c r="E12">
        <f>SUM(E6:E11)</f>
        <v>150</v>
      </c>
      <c r="F12" s="8">
        <f>SUM(F6:F11)</f>
        <v>1</v>
      </c>
      <c r="L12" s="10" t="s">
        <v>21</v>
      </c>
      <c r="M12" s="10">
        <v>1.8951230425055929</v>
      </c>
    </row>
    <row r="13" spans="1:20" x14ac:dyDescent="0.45">
      <c r="A13" s="1">
        <v>2</v>
      </c>
      <c r="L13" s="10" t="s">
        <v>22</v>
      </c>
      <c r="M13" s="10">
        <v>-0.42810972643876788</v>
      </c>
    </row>
    <row r="14" spans="1:20" x14ac:dyDescent="0.45">
      <c r="A14" s="1">
        <v>0</v>
      </c>
      <c r="D14" t="s">
        <v>52</v>
      </c>
      <c r="L14" s="10" t="s">
        <v>23</v>
      </c>
      <c r="M14" s="10">
        <v>0.81596688961013031</v>
      </c>
    </row>
    <row r="15" spans="1:20" x14ac:dyDescent="0.45">
      <c r="A15" s="1">
        <v>1</v>
      </c>
      <c r="L15" s="10" t="s">
        <v>24</v>
      </c>
      <c r="M15" s="10">
        <v>5</v>
      </c>
    </row>
    <row r="16" spans="1:20" x14ac:dyDescent="0.45">
      <c r="A16" s="1">
        <v>4</v>
      </c>
      <c r="L16" s="10" t="s">
        <v>25</v>
      </c>
      <c r="M16" s="10">
        <v>0</v>
      </c>
    </row>
    <row r="17" spans="1:13" x14ac:dyDescent="0.45">
      <c r="A17" s="1">
        <v>2</v>
      </c>
      <c r="L17" s="10" t="s">
        <v>26</v>
      </c>
      <c r="M17" s="10">
        <v>5</v>
      </c>
    </row>
    <row r="18" spans="1:13" x14ac:dyDescent="0.45">
      <c r="A18" s="1">
        <v>1</v>
      </c>
      <c r="L18" s="10" t="s">
        <v>27</v>
      </c>
      <c r="M18" s="10">
        <v>188</v>
      </c>
    </row>
    <row r="19" spans="1:13" ht="14.65" thickBot="1" x14ac:dyDescent="0.5">
      <c r="A19" s="1">
        <v>2</v>
      </c>
      <c r="L19" s="11" t="s">
        <v>28</v>
      </c>
      <c r="M19" s="11">
        <v>150</v>
      </c>
    </row>
    <row r="20" spans="1:13" x14ac:dyDescent="0.45">
      <c r="A20" s="1">
        <v>3</v>
      </c>
    </row>
    <row r="21" spans="1:13" x14ac:dyDescent="0.45">
      <c r="A21" s="1">
        <v>1</v>
      </c>
    </row>
    <row r="22" spans="1:13" x14ac:dyDescent="0.45">
      <c r="A22" s="1">
        <v>1</v>
      </c>
    </row>
    <row r="23" spans="1:13" x14ac:dyDescent="0.45">
      <c r="A23" s="1">
        <v>1</v>
      </c>
    </row>
    <row r="24" spans="1:13" x14ac:dyDescent="0.45">
      <c r="A24" s="1">
        <v>3</v>
      </c>
    </row>
    <row r="25" spans="1:13" x14ac:dyDescent="0.45">
      <c r="A25" s="1">
        <v>1</v>
      </c>
    </row>
    <row r="26" spans="1:13" x14ac:dyDescent="0.45">
      <c r="A26" s="1">
        <v>3</v>
      </c>
    </row>
    <row r="27" spans="1:13" x14ac:dyDescent="0.45">
      <c r="A27" s="1">
        <v>3</v>
      </c>
    </row>
    <row r="28" spans="1:13" x14ac:dyDescent="0.45">
      <c r="A28" s="1">
        <v>3</v>
      </c>
    </row>
    <row r="29" spans="1:13" x14ac:dyDescent="0.45">
      <c r="A29" s="1">
        <v>0</v>
      </c>
    </row>
    <row r="30" spans="1:13" x14ac:dyDescent="0.45">
      <c r="A30" s="1">
        <v>0</v>
      </c>
    </row>
    <row r="31" spans="1:13" x14ac:dyDescent="0.45">
      <c r="A31" s="1">
        <v>3</v>
      </c>
    </row>
    <row r="32" spans="1:13" x14ac:dyDescent="0.45">
      <c r="A32" s="1">
        <v>1</v>
      </c>
    </row>
    <row r="33" spans="1:1" x14ac:dyDescent="0.45">
      <c r="A33" s="1">
        <v>1</v>
      </c>
    </row>
    <row r="34" spans="1:1" x14ac:dyDescent="0.45">
      <c r="A34" s="1">
        <v>2</v>
      </c>
    </row>
    <row r="35" spans="1:1" x14ac:dyDescent="0.45">
      <c r="A35" s="1">
        <v>0</v>
      </c>
    </row>
    <row r="36" spans="1:1" x14ac:dyDescent="0.45">
      <c r="A36" s="1">
        <v>1</v>
      </c>
    </row>
    <row r="37" spans="1:1" x14ac:dyDescent="0.45">
      <c r="A37" s="1">
        <v>2</v>
      </c>
    </row>
    <row r="38" spans="1:1" x14ac:dyDescent="0.45">
      <c r="A38" s="1">
        <v>3</v>
      </c>
    </row>
    <row r="39" spans="1:1" x14ac:dyDescent="0.45">
      <c r="A39" s="1">
        <v>0</v>
      </c>
    </row>
    <row r="40" spans="1:1" x14ac:dyDescent="0.45">
      <c r="A40" s="1">
        <v>2</v>
      </c>
    </row>
    <row r="41" spans="1:1" x14ac:dyDescent="0.45">
      <c r="A41" s="1">
        <v>2</v>
      </c>
    </row>
    <row r="42" spans="1:1" x14ac:dyDescent="0.45">
      <c r="A42" s="1">
        <v>0</v>
      </c>
    </row>
    <row r="43" spans="1:1" x14ac:dyDescent="0.45">
      <c r="A43" s="1">
        <v>5</v>
      </c>
    </row>
    <row r="44" spans="1:1" x14ac:dyDescent="0.45">
      <c r="A44" s="1">
        <v>1</v>
      </c>
    </row>
    <row r="45" spans="1:1" x14ac:dyDescent="0.45">
      <c r="A45" s="1">
        <v>4</v>
      </c>
    </row>
    <row r="46" spans="1:1" x14ac:dyDescent="0.45">
      <c r="A46" s="1">
        <v>0</v>
      </c>
    </row>
    <row r="47" spans="1:1" x14ac:dyDescent="0.45">
      <c r="A47" s="1">
        <v>0</v>
      </c>
    </row>
    <row r="48" spans="1:1" x14ac:dyDescent="0.45">
      <c r="A48" s="1">
        <v>0</v>
      </c>
    </row>
    <row r="49" spans="1:1" x14ac:dyDescent="0.45">
      <c r="A49" s="1">
        <v>0</v>
      </c>
    </row>
    <row r="50" spans="1:1" x14ac:dyDescent="0.45">
      <c r="A50" s="1">
        <v>3</v>
      </c>
    </row>
    <row r="51" spans="1:1" x14ac:dyDescent="0.45">
      <c r="A51" s="1">
        <v>2</v>
      </c>
    </row>
    <row r="52" spans="1:1" x14ac:dyDescent="0.45">
      <c r="A52" s="1">
        <v>0</v>
      </c>
    </row>
    <row r="53" spans="1:1" x14ac:dyDescent="0.45">
      <c r="A53" s="1">
        <v>0</v>
      </c>
    </row>
    <row r="54" spans="1:1" x14ac:dyDescent="0.45">
      <c r="A54" s="1">
        <v>0</v>
      </c>
    </row>
    <row r="55" spans="1:1" x14ac:dyDescent="0.45">
      <c r="A55" s="1">
        <v>1</v>
      </c>
    </row>
    <row r="56" spans="1:1" x14ac:dyDescent="0.45">
      <c r="A56" s="1">
        <v>0</v>
      </c>
    </row>
    <row r="57" spans="1:1" x14ac:dyDescent="0.45">
      <c r="A57" s="1">
        <v>1</v>
      </c>
    </row>
    <row r="58" spans="1:1" x14ac:dyDescent="0.45">
      <c r="A58" s="1">
        <v>0</v>
      </c>
    </row>
    <row r="59" spans="1:1" x14ac:dyDescent="0.45">
      <c r="A59" s="1">
        <v>1</v>
      </c>
    </row>
    <row r="60" spans="1:1" x14ac:dyDescent="0.45">
      <c r="A60" s="1">
        <v>0</v>
      </c>
    </row>
    <row r="61" spans="1:1" x14ac:dyDescent="0.45">
      <c r="A61" s="1">
        <v>2</v>
      </c>
    </row>
    <row r="62" spans="1:1" x14ac:dyDescent="0.45">
      <c r="A62" s="1">
        <v>0</v>
      </c>
    </row>
    <row r="63" spans="1:1" x14ac:dyDescent="0.45">
      <c r="A63" s="1">
        <v>2</v>
      </c>
    </row>
    <row r="64" spans="1:1" x14ac:dyDescent="0.45">
      <c r="A64" s="1">
        <v>0</v>
      </c>
    </row>
    <row r="65" spans="1:1" x14ac:dyDescent="0.45">
      <c r="A65" s="1">
        <v>0</v>
      </c>
    </row>
    <row r="66" spans="1:1" x14ac:dyDescent="0.45">
      <c r="A66" s="1">
        <v>2</v>
      </c>
    </row>
    <row r="67" spans="1:1" x14ac:dyDescent="0.45">
      <c r="A67" s="1">
        <v>0</v>
      </c>
    </row>
    <row r="68" spans="1:1" x14ac:dyDescent="0.45">
      <c r="A68" s="1">
        <v>0</v>
      </c>
    </row>
    <row r="69" spans="1:1" x14ac:dyDescent="0.45">
      <c r="A69" s="1">
        <v>4</v>
      </c>
    </row>
    <row r="70" spans="1:1" x14ac:dyDescent="0.45">
      <c r="A70" s="1">
        <v>2</v>
      </c>
    </row>
    <row r="71" spans="1:1" x14ac:dyDescent="0.45">
      <c r="A71" s="1">
        <v>1</v>
      </c>
    </row>
    <row r="72" spans="1:1" x14ac:dyDescent="0.45">
      <c r="A72" s="1">
        <v>0</v>
      </c>
    </row>
    <row r="73" spans="1:1" x14ac:dyDescent="0.45">
      <c r="A73" s="1">
        <v>4</v>
      </c>
    </row>
    <row r="74" spans="1:1" x14ac:dyDescent="0.45">
      <c r="A74" s="1">
        <v>0</v>
      </c>
    </row>
    <row r="75" spans="1:1" x14ac:dyDescent="0.45">
      <c r="A75" s="1">
        <v>0</v>
      </c>
    </row>
    <row r="76" spans="1:1" x14ac:dyDescent="0.45">
      <c r="A76" s="1">
        <v>0</v>
      </c>
    </row>
    <row r="77" spans="1:1" x14ac:dyDescent="0.45">
      <c r="A77" s="1">
        <v>0</v>
      </c>
    </row>
    <row r="78" spans="1:1" x14ac:dyDescent="0.45">
      <c r="A78" s="1">
        <v>0</v>
      </c>
    </row>
    <row r="79" spans="1:1" x14ac:dyDescent="0.45">
      <c r="A79" s="1">
        <v>0</v>
      </c>
    </row>
    <row r="80" spans="1:1" x14ac:dyDescent="0.45">
      <c r="A80" s="1">
        <v>3</v>
      </c>
    </row>
    <row r="81" spans="1:1" x14ac:dyDescent="0.45">
      <c r="A81" s="1">
        <v>2</v>
      </c>
    </row>
    <row r="82" spans="1:1" x14ac:dyDescent="0.45">
      <c r="A82" s="1">
        <v>3</v>
      </c>
    </row>
    <row r="83" spans="1:1" x14ac:dyDescent="0.45">
      <c r="A83" s="1">
        <v>3</v>
      </c>
    </row>
    <row r="84" spans="1:1" x14ac:dyDescent="0.45">
      <c r="A84" s="1">
        <v>4</v>
      </c>
    </row>
    <row r="85" spans="1:1" x14ac:dyDescent="0.45">
      <c r="A85" s="1">
        <v>1</v>
      </c>
    </row>
    <row r="86" spans="1:1" x14ac:dyDescent="0.45">
      <c r="A86" s="1">
        <v>4</v>
      </c>
    </row>
    <row r="87" spans="1:1" x14ac:dyDescent="0.45">
      <c r="A87" s="1">
        <v>0</v>
      </c>
    </row>
    <row r="88" spans="1:1" x14ac:dyDescent="0.45">
      <c r="A88" s="1">
        <v>0</v>
      </c>
    </row>
    <row r="89" spans="1:1" x14ac:dyDescent="0.45">
      <c r="A89" s="1">
        <v>0</v>
      </c>
    </row>
    <row r="90" spans="1:1" x14ac:dyDescent="0.45">
      <c r="A90" s="1">
        <v>2</v>
      </c>
    </row>
    <row r="91" spans="1:1" x14ac:dyDescent="0.45">
      <c r="A91" s="1">
        <v>0</v>
      </c>
    </row>
    <row r="92" spans="1:1" x14ac:dyDescent="0.45">
      <c r="A92" s="1">
        <v>2</v>
      </c>
    </row>
    <row r="93" spans="1:1" x14ac:dyDescent="0.45">
      <c r="A93" s="1">
        <v>2</v>
      </c>
    </row>
    <row r="94" spans="1:1" x14ac:dyDescent="0.45">
      <c r="A94" s="1">
        <v>2</v>
      </c>
    </row>
    <row r="95" spans="1:1" x14ac:dyDescent="0.45">
      <c r="A95" s="1">
        <v>4</v>
      </c>
    </row>
    <row r="96" spans="1:1" x14ac:dyDescent="0.45">
      <c r="A96" s="1">
        <v>4</v>
      </c>
    </row>
    <row r="97" spans="1:1" x14ac:dyDescent="0.45">
      <c r="A97" s="1">
        <v>0</v>
      </c>
    </row>
    <row r="98" spans="1:1" x14ac:dyDescent="0.45">
      <c r="A98" s="1">
        <v>3</v>
      </c>
    </row>
    <row r="99" spans="1:1" x14ac:dyDescent="0.45">
      <c r="A99" s="1">
        <v>0</v>
      </c>
    </row>
    <row r="100" spans="1:1" x14ac:dyDescent="0.45">
      <c r="A100" s="1">
        <v>3</v>
      </c>
    </row>
    <row r="101" spans="1:1" x14ac:dyDescent="0.45">
      <c r="A101" s="1">
        <v>0</v>
      </c>
    </row>
    <row r="102" spans="1:1" x14ac:dyDescent="0.45">
      <c r="A102" s="1">
        <v>3</v>
      </c>
    </row>
    <row r="103" spans="1:1" x14ac:dyDescent="0.45">
      <c r="A103" s="1">
        <v>3</v>
      </c>
    </row>
    <row r="104" spans="1:1" x14ac:dyDescent="0.45">
      <c r="A104" s="1">
        <v>0</v>
      </c>
    </row>
    <row r="105" spans="1:1" x14ac:dyDescent="0.45">
      <c r="A105" s="1">
        <v>0</v>
      </c>
    </row>
    <row r="106" spans="1:1" x14ac:dyDescent="0.45">
      <c r="A106" s="1">
        <v>1</v>
      </c>
    </row>
    <row r="107" spans="1:1" x14ac:dyDescent="0.45">
      <c r="A107" s="1">
        <v>1</v>
      </c>
    </row>
    <row r="108" spans="1:1" x14ac:dyDescent="0.45">
      <c r="A108" s="1">
        <v>1</v>
      </c>
    </row>
    <row r="109" spans="1:1" x14ac:dyDescent="0.45">
      <c r="A109" s="1">
        <v>1</v>
      </c>
    </row>
    <row r="110" spans="1:1" x14ac:dyDescent="0.45">
      <c r="A110" s="1">
        <v>2</v>
      </c>
    </row>
    <row r="111" spans="1:1" x14ac:dyDescent="0.45">
      <c r="A111" s="1">
        <v>0</v>
      </c>
    </row>
    <row r="112" spans="1:1" x14ac:dyDescent="0.45">
      <c r="A112" s="1">
        <v>2</v>
      </c>
    </row>
    <row r="113" spans="1:1" x14ac:dyDescent="0.45">
      <c r="A113" s="1">
        <v>0</v>
      </c>
    </row>
    <row r="114" spans="1:1" x14ac:dyDescent="0.45">
      <c r="A114" s="1">
        <v>0</v>
      </c>
    </row>
    <row r="115" spans="1:1" x14ac:dyDescent="0.45">
      <c r="A115" s="1">
        <v>1</v>
      </c>
    </row>
    <row r="116" spans="1:1" x14ac:dyDescent="0.45">
      <c r="A116" s="1">
        <v>3</v>
      </c>
    </row>
    <row r="117" spans="1:1" x14ac:dyDescent="0.45">
      <c r="A117" s="1">
        <v>1</v>
      </c>
    </row>
    <row r="118" spans="1:1" x14ac:dyDescent="0.45">
      <c r="A118" s="1">
        <v>0</v>
      </c>
    </row>
    <row r="119" spans="1:1" x14ac:dyDescent="0.45">
      <c r="A119" s="1">
        <v>3</v>
      </c>
    </row>
    <row r="120" spans="1:1" x14ac:dyDescent="0.45">
      <c r="A120" s="1">
        <v>0</v>
      </c>
    </row>
    <row r="121" spans="1:1" x14ac:dyDescent="0.45">
      <c r="A121" s="1">
        <v>0</v>
      </c>
    </row>
    <row r="122" spans="1:1" x14ac:dyDescent="0.45">
      <c r="A122" s="1">
        <v>0</v>
      </c>
    </row>
    <row r="123" spans="1:1" x14ac:dyDescent="0.45">
      <c r="A123" s="1">
        <v>2</v>
      </c>
    </row>
    <row r="124" spans="1:1" x14ac:dyDescent="0.45">
      <c r="A124" s="1">
        <v>0</v>
      </c>
    </row>
    <row r="125" spans="1:1" x14ac:dyDescent="0.45">
      <c r="A125" s="1">
        <v>1</v>
      </c>
    </row>
    <row r="126" spans="1:1" x14ac:dyDescent="0.45">
      <c r="A126" s="1">
        <v>0</v>
      </c>
    </row>
    <row r="127" spans="1:1" x14ac:dyDescent="0.45">
      <c r="A127" s="1">
        <v>0</v>
      </c>
    </row>
    <row r="128" spans="1:1" x14ac:dyDescent="0.45">
      <c r="A128" s="1">
        <v>0</v>
      </c>
    </row>
    <row r="129" spans="1:1" x14ac:dyDescent="0.45">
      <c r="A129" s="1">
        <v>1</v>
      </c>
    </row>
    <row r="130" spans="1:1" x14ac:dyDescent="0.45">
      <c r="A130" s="1">
        <v>0</v>
      </c>
    </row>
    <row r="131" spans="1:1" x14ac:dyDescent="0.45">
      <c r="A131" s="1">
        <v>0</v>
      </c>
    </row>
    <row r="132" spans="1:1" x14ac:dyDescent="0.45">
      <c r="A132" s="1">
        <v>1</v>
      </c>
    </row>
    <row r="133" spans="1:1" x14ac:dyDescent="0.45">
      <c r="A133" s="1">
        <v>4</v>
      </c>
    </row>
    <row r="134" spans="1:1" x14ac:dyDescent="0.45">
      <c r="A134" s="1">
        <v>0</v>
      </c>
    </row>
    <row r="135" spans="1:1" x14ac:dyDescent="0.45">
      <c r="A135" s="1">
        <v>4</v>
      </c>
    </row>
    <row r="136" spans="1:1" x14ac:dyDescent="0.45">
      <c r="A136" s="1">
        <v>5</v>
      </c>
    </row>
    <row r="137" spans="1:1" x14ac:dyDescent="0.45">
      <c r="A137" s="1">
        <v>0</v>
      </c>
    </row>
    <row r="138" spans="1:1" x14ac:dyDescent="0.45">
      <c r="A138" s="1">
        <v>0</v>
      </c>
    </row>
    <row r="139" spans="1:1" x14ac:dyDescent="0.45">
      <c r="A139" s="1">
        <v>0</v>
      </c>
    </row>
    <row r="140" spans="1:1" x14ac:dyDescent="0.45">
      <c r="A140" s="1">
        <v>0</v>
      </c>
    </row>
    <row r="141" spans="1:1" x14ac:dyDescent="0.45">
      <c r="A141" s="1">
        <v>0</v>
      </c>
    </row>
    <row r="142" spans="1:1" x14ac:dyDescent="0.45">
      <c r="A142" s="1">
        <v>0</v>
      </c>
    </row>
    <row r="143" spans="1:1" x14ac:dyDescent="0.45">
      <c r="A143" s="1">
        <v>1</v>
      </c>
    </row>
    <row r="144" spans="1:1" x14ac:dyDescent="0.45">
      <c r="A144" s="1">
        <v>0</v>
      </c>
    </row>
    <row r="145" spans="1:1" x14ac:dyDescent="0.45">
      <c r="A145" s="1">
        <v>1</v>
      </c>
    </row>
    <row r="146" spans="1:1" x14ac:dyDescent="0.45">
      <c r="A146" s="1">
        <v>0</v>
      </c>
    </row>
    <row r="147" spans="1:1" x14ac:dyDescent="0.45">
      <c r="A147" s="1">
        <v>2</v>
      </c>
    </row>
    <row r="148" spans="1:1" x14ac:dyDescent="0.45">
      <c r="A148" s="1">
        <v>1</v>
      </c>
    </row>
    <row r="149" spans="1:1" x14ac:dyDescent="0.45">
      <c r="A149" s="1">
        <v>2</v>
      </c>
    </row>
    <row r="150" spans="1:1" x14ac:dyDescent="0.45">
      <c r="A150" s="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4856-52C5-42A7-830C-A6C02F074F3B}">
  <dimension ref="A1:M140"/>
  <sheetViews>
    <sheetView workbookViewId="0">
      <selection activeCell="I10" sqref="I10"/>
    </sheetView>
  </sheetViews>
  <sheetFormatPr defaultRowHeight="14.25" x14ac:dyDescent="0.45"/>
  <sheetData>
    <row r="1" spans="1:11" x14ac:dyDescent="0.45">
      <c r="A1" s="2">
        <v>5.87</v>
      </c>
      <c r="C1" t="s">
        <v>75</v>
      </c>
      <c r="D1" t="s">
        <v>76</v>
      </c>
    </row>
    <row r="2" spans="1:11" x14ac:dyDescent="0.45">
      <c r="A2" s="2">
        <v>5.54</v>
      </c>
      <c r="D2" t="s">
        <v>35</v>
      </c>
    </row>
    <row r="3" spans="1:11" x14ac:dyDescent="0.45">
      <c r="A3" s="2">
        <v>5.91</v>
      </c>
    </row>
    <row r="4" spans="1:11" x14ac:dyDescent="0.45">
      <c r="A4" s="2">
        <v>4.3099999999999996</v>
      </c>
      <c r="D4" s="13" t="s">
        <v>60</v>
      </c>
    </row>
    <row r="5" spans="1:11" x14ac:dyDescent="0.45">
      <c r="A5" s="2">
        <v>4.66</v>
      </c>
    </row>
    <row r="6" spans="1:11" x14ac:dyDescent="0.45">
      <c r="A6" s="2">
        <v>5.09</v>
      </c>
      <c r="D6" t="s">
        <v>4</v>
      </c>
      <c r="E6">
        <f>COUNT(A1:A140)</f>
        <v>140</v>
      </c>
    </row>
    <row r="7" spans="1:11" x14ac:dyDescent="0.45">
      <c r="A7" s="2">
        <v>5.58</v>
      </c>
      <c r="D7" t="s">
        <v>36</v>
      </c>
      <c r="E7">
        <f>MAX(A1:A140)</f>
        <v>5.98</v>
      </c>
    </row>
    <row r="8" spans="1:11" x14ac:dyDescent="0.45">
      <c r="A8" s="2">
        <v>4.5</v>
      </c>
      <c r="D8" t="s">
        <v>37</v>
      </c>
      <c r="E8">
        <f>MIN(A1:A140)</f>
        <v>4.0199999999999996</v>
      </c>
    </row>
    <row r="9" spans="1:11" x14ac:dyDescent="0.45">
      <c r="A9" s="2">
        <v>5.79</v>
      </c>
      <c r="D9" t="s">
        <v>38</v>
      </c>
      <c r="E9">
        <f>E7-E8</f>
        <v>1.9600000000000009</v>
      </c>
    </row>
    <row r="10" spans="1:11" x14ac:dyDescent="0.45">
      <c r="A10" s="2">
        <v>4.66</v>
      </c>
      <c r="D10" t="s">
        <v>61</v>
      </c>
      <c r="F10">
        <f>INT(LOG(140,2))+1</f>
        <v>8</v>
      </c>
    </row>
    <row r="11" spans="1:11" x14ac:dyDescent="0.45">
      <c r="A11" s="2">
        <v>4.83</v>
      </c>
    </row>
    <row r="12" spans="1:11" x14ac:dyDescent="0.45">
      <c r="A12" s="2">
        <v>5.38</v>
      </c>
      <c r="D12" t="s">
        <v>40</v>
      </c>
      <c r="F12">
        <f>(E7-E8)/8</f>
        <v>0.24500000000000011</v>
      </c>
      <c r="G12" t="s">
        <v>77</v>
      </c>
    </row>
    <row r="13" spans="1:11" x14ac:dyDescent="0.45">
      <c r="A13" s="2">
        <v>5.51</v>
      </c>
    </row>
    <row r="14" spans="1:11" x14ac:dyDescent="0.45">
      <c r="A14" s="2">
        <v>5.26</v>
      </c>
    </row>
    <row r="15" spans="1:11" x14ac:dyDescent="0.45">
      <c r="A15" s="2">
        <v>5.6</v>
      </c>
      <c r="D15" t="s">
        <v>41</v>
      </c>
      <c r="G15" t="s">
        <v>2</v>
      </c>
    </row>
    <row r="16" spans="1:11" x14ac:dyDescent="0.45">
      <c r="A16" s="2">
        <v>4.21</v>
      </c>
      <c r="D16">
        <v>4</v>
      </c>
      <c r="G16" t="s">
        <v>44</v>
      </c>
      <c r="H16" t="s">
        <v>6</v>
      </c>
      <c r="I16" t="s">
        <v>7</v>
      </c>
      <c r="J16" t="s">
        <v>8</v>
      </c>
      <c r="K16" t="s">
        <v>9</v>
      </c>
    </row>
    <row r="17" spans="1:13" x14ac:dyDescent="0.45">
      <c r="A17" s="2">
        <v>4.6900000000000004</v>
      </c>
      <c r="D17">
        <f>D16+0.25</f>
        <v>4.25</v>
      </c>
      <c r="G17" t="str">
        <f>CONCATENATE("]",D16,";",D17,"]")</f>
        <v>]4;4,25]</v>
      </c>
      <c r="H17">
        <f t="array" ref="H17:H24">FREQUENCY(A1:A140,D17:D24)</f>
        <v>20</v>
      </c>
      <c r="I17" s="7">
        <f>H17/140</f>
        <v>0.14285714285714285</v>
      </c>
      <c r="J17">
        <f>H17</f>
        <v>20</v>
      </c>
      <c r="K17" s="8">
        <f>I17</f>
        <v>0.14285714285714285</v>
      </c>
    </row>
    <row r="18" spans="1:13" x14ac:dyDescent="0.45">
      <c r="A18" s="2">
        <v>5.7</v>
      </c>
      <c r="D18">
        <f t="shared" ref="D18:D24" si="0">D17+0.25</f>
        <v>4.5</v>
      </c>
      <c r="G18" t="str">
        <f t="shared" ref="G18:G24" si="1">CONCATENATE("]",D17,";",D18,"]")</f>
        <v>]4,25;4,5]</v>
      </c>
      <c r="H18">
        <v>17</v>
      </c>
      <c r="I18" s="7">
        <f t="shared" ref="I18:I24" si="2">H18/140</f>
        <v>0.12142857142857143</v>
      </c>
      <c r="J18">
        <f>J17+H18</f>
        <v>37</v>
      </c>
      <c r="K18" s="8">
        <f>K17+I18</f>
        <v>0.26428571428571429</v>
      </c>
    </row>
    <row r="19" spans="1:13" x14ac:dyDescent="0.45">
      <c r="A19" s="2">
        <v>5.44</v>
      </c>
      <c r="D19">
        <f t="shared" si="0"/>
        <v>4.75</v>
      </c>
      <c r="G19" t="str">
        <f t="shared" si="1"/>
        <v>]4,5;4,75]</v>
      </c>
      <c r="H19">
        <v>16</v>
      </c>
      <c r="I19" s="7">
        <f t="shared" si="2"/>
        <v>0.11428571428571428</v>
      </c>
      <c r="J19">
        <f t="shared" ref="J19:J24" si="3">J18+H19</f>
        <v>53</v>
      </c>
      <c r="K19" s="8">
        <f t="shared" ref="K19:K24" si="4">K18+I19</f>
        <v>0.37857142857142856</v>
      </c>
    </row>
    <row r="20" spans="1:13" x14ac:dyDescent="0.45">
      <c r="A20" s="2">
        <v>5.58</v>
      </c>
      <c r="D20">
        <f t="shared" si="0"/>
        <v>5</v>
      </c>
      <c r="G20" t="str">
        <f t="shared" si="1"/>
        <v>]4,75;5]</v>
      </c>
      <c r="H20">
        <v>19</v>
      </c>
      <c r="I20" s="7">
        <f t="shared" si="2"/>
        <v>0.1357142857142857</v>
      </c>
      <c r="J20">
        <f t="shared" si="3"/>
        <v>72</v>
      </c>
      <c r="K20" s="8">
        <f t="shared" si="4"/>
        <v>0.51428571428571423</v>
      </c>
    </row>
    <row r="21" spans="1:13" x14ac:dyDescent="0.45">
      <c r="A21" s="2">
        <v>5.95</v>
      </c>
      <c r="D21">
        <f t="shared" si="0"/>
        <v>5.25</v>
      </c>
      <c r="G21" t="str">
        <f t="shared" si="1"/>
        <v>]5;5,25]</v>
      </c>
      <c r="H21">
        <v>17</v>
      </c>
      <c r="I21" s="7">
        <f t="shared" si="2"/>
        <v>0.12142857142857143</v>
      </c>
      <c r="J21">
        <f t="shared" si="3"/>
        <v>89</v>
      </c>
      <c r="K21" s="8">
        <f t="shared" si="4"/>
        <v>0.63571428571428568</v>
      </c>
    </row>
    <row r="22" spans="1:13" x14ac:dyDescent="0.45">
      <c r="A22" s="2">
        <v>5.98</v>
      </c>
      <c r="D22">
        <f t="shared" si="0"/>
        <v>5.5</v>
      </c>
      <c r="G22" t="str">
        <f t="shared" si="1"/>
        <v>]5,25;5,5]</v>
      </c>
      <c r="H22">
        <v>18</v>
      </c>
      <c r="I22" s="7">
        <f t="shared" si="2"/>
        <v>0.12857142857142856</v>
      </c>
      <c r="J22">
        <f t="shared" si="3"/>
        <v>107</v>
      </c>
      <c r="K22" s="8">
        <f t="shared" si="4"/>
        <v>0.76428571428571423</v>
      </c>
    </row>
    <row r="23" spans="1:13" x14ac:dyDescent="0.45">
      <c r="A23" s="2">
        <v>5.0199999999999996</v>
      </c>
      <c r="D23">
        <f t="shared" si="0"/>
        <v>5.75</v>
      </c>
      <c r="G23" t="str">
        <f t="shared" si="1"/>
        <v>]5,5;5,75]</v>
      </c>
      <c r="H23">
        <v>20</v>
      </c>
      <c r="I23" s="7">
        <f t="shared" si="2"/>
        <v>0.14285714285714285</v>
      </c>
      <c r="J23">
        <f t="shared" si="3"/>
        <v>127</v>
      </c>
      <c r="K23" s="8">
        <f t="shared" si="4"/>
        <v>0.90714285714285703</v>
      </c>
    </row>
    <row r="24" spans="1:13" x14ac:dyDescent="0.45">
      <c r="A24" s="2">
        <v>5.16</v>
      </c>
      <c r="D24">
        <f t="shared" si="0"/>
        <v>6</v>
      </c>
      <c r="G24" t="str">
        <f t="shared" si="1"/>
        <v>]5,75;6]</v>
      </c>
      <c r="H24">
        <v>13</v>
      </c>
      <c r="I24" s="7">
        <f t="shared" si="2"/>
        <v>9.285714285714286E-2</v>
      </c>
      <c r="J24">
        <f t="shared" si="3"/>
        <v>140</v>
      </c>
      <c r="K24" s="8">
        <f t="shared" si="4"/>
        <v>0.99999999999999989</v>
      </c>
    </row>
    <row r="25" spans="1:13" x14ac:dyDescent="0.45">
      <c r="A25" s="2">
        <v>4.83</v>
      </c>
      <c r="G25" s="5" t="s">
        <v>10</v>
      </c>
      <c r="H25">
        <f>SUM(H17:H24)</f>
        <v>140</v>
      </c>
      <c r="I25" s="7">
        <f>SUM(I17:I24)</f>
        <v>0.99999999999999989</v>
      </c>
    </row>
    <row r="26" spans="1:13" x14ac:dyDescent="0.45">
      <c r="A26" s="2">
        <v>5.58</v>
      </c>
    </row>
    <row r="27" spans="1:13" x14ac:dyDescent="0.45">
      <c r="A27" s="2">
        <v>4.5599999999999996</v>
      </c>
      <c r="D27" t="s">
        <v>51</v>
      </c>
      <c r="E27" t="s">
        <v>78</v>
      </c>
      <c r="J27">
        <f>MODE(A1:A140)</f>
        <v>4.12</v>
      </c>
    </row>
    <row r="28" spans="1:13" x14ac:dyDescent="0.45">
      <c r="A28" s="2">
        <v>4.6900000000000004</v>
      </c>
      <c r="E28" t="s">
        <v>79</v>
      </c>
      <c r="J28">
        <f>_xlfn.VAR.S(A1:A140)</f>
        <v>0.33013613052413254</v>
      </c>
    </row>
    <row r="29" spans="1:13" x14ac:dyDescent="0.45">
      <c r="A29" s="2">
        <v>4.1100000000000003</v>
      </c>
      <c r="E29" t="s">
        <v>80</v>
      </c>
      <c r="M29">
        <f>MEDIAN(A1:A140)</f>
        <v>4.9649999999999999</v>
      </c>
    </row>
    <row r="30" spans="1:13" x14ac:dyDescent="0.45">
      <c r="A30" s="2">
        <v>4.91</v>
      </c>
    </row>
    <row r="31" spans="1:13" x14ac:dyDescent="0.45">
      <c r="A31" s="2">
        <v>5.12</v>
      </c>
    </row>
    <row r="32" spans="1:13" x14ac:dyDescent="0.45">
      <c r="A32" s="2">
        <v>4.2</v>
      </c>
    </row>
    <row r="33" spans="1:1" x14ac:dyDescent="0.45">
      <c r="A33" s="2">
        <v>5.08</v>
      </c>
    </row>
    <row r="34" spans="1:1" x14ac:dyDescent="0.45">
      <c r="A34" s="2">
        <v>5.63</v>
      </c>
    </row>
    <row r="35" spans="1:1" x14ac:dyDescent="0.45">
      <c r="A35" s="2">
        <v>5.49</v>
      </c>
    </row>
    <row r="36" spans="1:1" x14ac:dyDescent="0.45">
      <c r="A36" s="2">
        <v>4.79</v>
      </c>
    </row>
    <row r="37" spans="1:1" x14ac:dyDescent="0.45">
      <c r="A37" s="2">
        <v>4.76</v>
      </c>
    </row>
    <row r="38" spans="1:1" x14ac:dyDescent="0.45">
      <c r="A38" s="2">
        <v>4.3099999999999996</v>
      </c>
    </row>
    <row r="39" spans="1:1" x14ac:dyDescent="0.45">
      <c r="A39" s="2">
        <v>5.1100000000000003</v>
      </c>
    </row>
    <row r="40" spans="1:1" x14ac:dyDescent="0.45">
      <c r="A40" s="2">
        <v>5.96</v>
      </c>
    </row>
    <row r="41" spans="1:1" x14ac:dyDescent="0.45">
      <c r="A41" s="2">
        <v>4.6100000000000003</v>
      </c>
    </row>
    <row r="42" spans="1:1" x14ac:dyDescent="0.45">
      <c r="A42" s="2">
        <v>4.12</v>
      </c>
    </row>
    <row r="43" spans="1:1" x14ac:dyDescent="0.45">
      <c r="A43" s="2">
        <v>4.87</v>
      </c>
    </row>
    <row r="44" spans="1:1" x14ac:dyDescent="0.45">
      <c r="A44" s="2">
        <v>5.13</v>
      </c>
    </row>
    <row r="45" spans="1:1" x14ac:dyDescent="0.45">
      <c r="A45" s="2">
        <v>5.22</v>
      </c>
    </row>
    <row r="46" spans="1:1" x14ac:dyDescent="0.45">
      <c r="A46" s="2">
        <v>5.31</v>
      </c>
    </row>
    <row r="47" spans="1:1" x14ac:dyDescent="0.45">
      <c r="A47" s="2">
        <v>4.21</v>
      </c>
    </row>
    <row r="48" spans="1:1" x14ac:dyDescent="0.45">
      <c r="A48" s="2">
        <v>5.18</v>
      </c>
    </row>
    <row r="49" spans="1:1" x14ac:dyDescent="0.45">
      <c r="A49" s="2">
        <v>5.67</v>
      </c>
    </row>
    <row r="50" spans="1:1" x14ac:dyDescent="0.45">
      <c r="A50" s="2">
        <v>5.51</v>
      </c>
    </row>
    <row r="51" spans="1:1" x14ac:dyDescent="0.45">
      <c r="A51" s="2">
        <v>4.32</v>
      </c>
    </row>
    <row r="52" spans="1:1" x14ac:dyDescent="0.45">
      <c r="A52" s="2">
        <v>4.29</v>
      </c>
    </row>
    <row r="53" spans="1:1" x14ac:dyDescent="0.45">
      <c r="A53" s="2">
        <v>5.14</v>
      </c>
    </row>
    <row r="54" spans="1:1" x14ac:dyDescent="0.45">
      <c r="A54" s="2">
        <v>5.64</v>
      </c>
    </row>
    <row r="55" spans="1:1" x14ac:dyDescent="0.45">
      <c r="A55" s="2">
        <v>4.2699999999999996</v>
      </c>
    </row>
    <row r="56" spans="1:1" x14ac:dyDescent="0.45">
      <c r="A56" s="2">
        <v>4.47</v>
      </c>
    </row>
    <row r="57" spans="1:1" x14ac:dyDescent="0.45">
      <c r="A57" s="2">
        <v>4.49</v>
      </c>
    </row>
    <row r="58" spans="1:1" x14ac:dyDescent="0.45">
      <c r="A58" s="2">
        <v>5.45</v>
      </c>
    </row>
    <row r="59" spans="1:1" x14ac:dyDescent="0.45">
      <c r="A59" s="2">
        <v>5.6</v>
      </c>
    </row>
    <row r="60" spans="1:1" x14ac:dyDescent="0.45">
      <c r="A60" s="2">
        <v>4.13</v>
      </c>
    </row>
    <row r="61" spans="1:1" x14ac:dyDescent="0.45">
      <c r="A61" s="2">
        <v>4.63</v>
      </c>
    </row>
    <row r="62" spans="1:1" x14ac:dyDescent="0.45">
      <c r="A62" s="2">
        <v>5.55</v>
      </c>
    </row>
    <row r="63" spans="1:1" x14ac:dyDescent="0.45">
      <c r="A63" s="2">
        <v>4.12</v>
      </c>
    </row>
    <row r="64" spans="1:1" x14ac:dyDescent="0.45">
      <c r="A64" s="2">
        <v>4.9000000000000004</v>
      </c>
    </row>
    <row r="65" spans="1:1" x14ac:dyDescent="0.45">
      <c r="A65" s="2">
        <v>4.67</v>
      </c>
    </row>
    <row r="66" spans="1:1" x14ac:dyDescent="0.45">
      <c r="A66" s="2">
        <v>5.17</v>
      </c>
    </row>
    <row r="67" spans="1:1" x14ac:dyDescent="0.45">
      <c r="A67" s="2">
        <v>5.36</v>
      </c>
    </row>
    <row r="68" spans="1:1" x14ac:dyDescent="0.45">
      <c r="A68" s="2">
        <v>4.0199999999999996</v>
      </c>
    </row>
    <row r="69" spans="1:1" x14ac:dyDescent="0.45">
      <c r="A69" s="2">
        <v>5.88</v>
      </c>
    </row>
    <row r="70" spans="1:1" x14ac:dyDescent="0.45">
      <c r="A70" s="2">
        <v>5.26</v>
      </c>
    </row>
    <row r="71" spans="1:1" x14ac:dyDescent="0.45">
      <c r="A71" s="2">
        <v>5.7</v>
      </c>
    </row>
    <row r="72" spans="1:1" x14ac:dyDescent="0.45">
      <c r="A72" s="2">
        <v>5.13</v>
      </c>
    </row>
    <row r="73" spans="1:1" x14ac:dyDescent="0.45">
      <c r="A73" s="2">
        <v>4.29</v>
      </c>
    </row>
    <row r="74" spans="1:1" x14ac:dyDescent="0.45">
      <c r="A74" s="2">
        <v>5.68</v>
      </c>
    </row>
    <row r="75" spans="1:1" x14ac:dyDescent="0.45">
      <c r="A75" s="2">
        <v>4.97</v>
      </c>
    </row>
    <row r="76" spans="1:1" x14ac:dyDescent="0.45">
      <c r="A76" s="2">
        <v>5.94</v>
      </c>
    </row>
    <row r="77" spans="1:1" x14ac:dyDescent="0.45">
      <c r="A77" s="2">
        <v>5.05</v>
      </c>
    </row>
    <row r="78" spans="1:1" x14ac:dyDescent="0.45">
      <c r="A78" s="2">
        <v>4.4000000000000004</v>
      </c>
    </row>
    <row r="79" spans="1:1" x14ac:dyDescent="0.45">
      <c r="A79" s="2">
        <v>5.46</v>
      </c>
    </row>
    <row r="80" spans="1:1" x14ac:dyDescent="0.45">
      <c r="A80" s="2">
        <v>5.3</v>
      </c>
    </row>
    <row r="81" spans="1:1" x14ac:dyDescent="0.45">
      <c r="A81" s="2">
        <v>5.04</v>
      </c>
    </row>
    <row r="82" spans="1:1" x14ac:dyDescent="0.45">
      <c r="A82" s="2">
        <v>5.69</v>
      </c>
    </row>
    <row r="83" spans="1:1" x14ac:dyDescent="0.45">
      <c r="A83" s="2">
        <v>4.6500000000000004</v>
      </c>
    </row>
    <row r="84" spans="1:1" x14ac:dyDescent="0.45">
      <c r="A84" s="2">
        <v>5.74</v>
      </c>
    </row>
    <row r="85" spans="1:1" x14ac:dyDescent="0.45">
      <c r="A85" s="2">
        <v>5.8</v>
      </c>
    </row>
    <row r="86" spans="1:1" x14ac:dyDescent="0.45">
      <c r="A86" s="2">
        <v>4.4000000000000004</v>
      </c>
    </row>
    <row r="87" spans="1:1" x14ac:dyDescent="0.45">
      <c r="A87" s="2">
        <v>4.34</v>
      </c>
    </row>
    <row r="88" spans="1:1" x14ac:dyDescent="0.45">
      <c r="A88" s="2">
        <v>5.37</v>
      </c>
    </row>
    <row r="89" spans="1:1" x14ac:dyDescent="0.45">
      <c r="A89" s="2">
        <v>4.12</v>
      </c>
    </row>
    <row r="90" spans="1:1" x14ac:dyDescent="0.45">
      <c r="A90" s="2">
        <v>5.74</v>
      </c>
    </row>
    <row r="91" spans="1:1" x14ac:dyDescent="0.45">
      <c r="A91" s="2">
        <v>4.1500000000000004</v>
      </c>
    </row>
    <row r="92" spans="1:1" x14ac:dyDescent="0.45">
      <c r="A92" s="2">
        <v>4.7699999999999996</v>
      </c>
    </row>
    <row r="93" spans="1:1" x14ac:dyDescent="0.45">
      <c r="A93" s="2">
        <v>4.79</v>
      </c>
    </row>
    <row r="94" spans="1:1" x14ac:dyDescent="0.45">
      <c r="A94" s="2">
        <v>4.54</v>
      </c>
    </row>
    <row r="95" spans="1:1" x14ac:dyDescent="0.45">
      <c r="A95" s="2">
        <v>5.5</v>
      </c>
    </row>
    <row r="96" spans="1:1" x14ac:dyDescent="0.45">
      <c r="A96" s="2">
        <v>4.54</v>
      </c>
    </row>
    <row r="97" spans="1:1" x14ac:dyDescent="0.45">
      <c r="A97" s="2">
        <v>4.8099999999999996</v>
      </c>
    </row>
    <row r="98" spans="1:1" x14ac:dyDescent="0.45">
      <c r="A98" s="2">
        <v>5.48</v>
      </c>
    </row>
    <row r="99" spans="1:1" x14ac:dyDescent="0.45">
      <c r="A99" s="2">
        <v>4.8899999999999997</v>
      </c>
    </row>
    <row r="100" spans="1:1" x14ac:dyDescent="0.45">
      <c r="A100" s="2">
        <v>4.7300000000000004</v>
      </c>
    </row>
    <row r="101" spans="1:1" x14ac:dyDescent="0.45">
      <c r="A101" s="2">
        <v>4.0199999999999996</v>
      </c>
    </row>
    <row r="102" spans="1:1" x14ac:dyDescent="0.45">
      <c r="A102" s="2">
        <v>4.12</v>
      </c>
    </row>
    <row r="103" spans="1:1" x14ac:dyDescent="0.45">
      <c r="A103" s="2">
        <v>4.87</v>
      </c>
    </row>
    <row r="104" spans="1:1" x14ac:dyDescent="0.45">
      <c r="A104" s="2">
        <v>4.8099999999999996</v>
      </c>
    </row>
    <row r="105" spans="1:1" x14ac:dyDescent="0.45">
      <c r="A105" s="2">
        <v>4.96</v>
      </c>
    </row>
    <row r="106" spans="1:1" x14ac:dyDescent="0.45">
      <c r="A106" s="2">
        <v>4.6100000000000003</v>
      </c>
    </row>
    <row r="107" spans="1:1" x14ac:dyDescent="0.45">
      <c r="A107" s="2">
        <v>4.78</v>
      </c>
    </row>
    <row r="108" spans="1:1" x14ac:dyDescent="0.45">
      <c r="A108" s="2">
        <v>5.13</v>
      </c>
    </row>
    <row r="109" spans="1:1" x14ac:dyDescent="0.45">
      <c r="A109" s="2">
        <v>4.87</v>
      </c>
    </row>
    <row r="110" spans="1:1" x14ac:dyDescent="0.45">
      <c r="A110" s="2">
        <v>5.48</v>
      </c>
    </row>
    <row r="111" spans="1:1" x14ac:dyDescent="0.45">
      <c r="A111" s="2">
        <v>4.25</v>
      </c>
    </row>
    <row r="112" spans="1:1" x14ac:dyDescent="0.45">
      <c r="A112" s="2">
        <v>4.32</v>
      </c>
    </row>
    <row r="113" spans="1:1" x14ac:dyDescent="0.45">
      <c r="A113" s="2">
        <v>5.33</v>
      </c>
    </row>
    <row r="114" spans="1:1" x14ac:dyDescent="0.45">
      <c r="A114" s="2">
        <v>4.21</v>
      </c>
    </row>
    <row r="115" spans="1:1" x14ac:dyDescent="0.45">
      <c r="A115" s="2">
        <v>5.41</v>
      </c>
    </row>
    <row r="116" spans="1:1" x14ac:dyDescent="0.45">
      <c r="A116" s="2">
        <v>4.12</v>
      </c>
    </row>
    <row r="117" spans="1:1" x14ac:dyDescent="0.45">
      <c r="A117" s="2">
        <v>4.3</v>
      </c>
    </row>
    <row r="118" spans="1:1" x14ac:dyDescent="0.45">
      <c r="A118" s="2">
        <v>4.1100000000000003</v>
      </c>
    </row>
    <row r="119" spans="1:1" x14ac:dyDescent="0.45">
      <c r="A119" s="2">
        <v>4.1399999999999997</v>
      </c>
    </row>
    <row r="120" spans="1:1" x14ac:dyDescent="0.45">
      <c r="A120" s="2">
        <v>4.3099999999999996</v>
      </c>
    </row>
    <row r="121" spans="1:1" x14ac:dyDescent="0.45">
      <c r="A121" s="2">
        <v>5.58</v>
      </c>
    </row>
    <row r="122" spans="1:1" x14ac:dyDescent="0.45">
      <c r="A122" s="2">
        <v>4.6900000000000004</v>
      </c>
    </row>
    <row r="123" spans="1:1" x14ac:dyDescent="0.45">
      <c r="A123" s="2">
        <v>4.84</v>
      </c>
    </row>
    <row r="124" spans="1:1" x14ac:dyDescent="0.45">
      <c r="A124" s="2">
        <v>5.84</v>
      </c>
    </row>
    <row r="125" spans="1:1" x14ac:dyDescent="0.45">
      <c r="A125" s="2">
        <v>5.76</v>
      </c>
    </row>
    <row r="126" spans="1:1" x14ac:dyDescent="0.45">
      <c r="A126" s="2">
        <v>5.44</v>
      </c>
    </row>
    <row r="127" spans="1:1" x14ac:dyDescent="0.45">
      <c r="A127" s="2">
        <v>4.04</v>
      </c>
    </row>
    <row r="128" spans="1:1" x14ac:dyDescent="0.45">
      <c r="A128" s="2">
        <v>5.22</v>
      </c>
    </row>
    <row r="129" spans="1:1" x14ac:dyDescent="0.45">
      <c r="A129" s="2">
        <v>4.0599999999999996</v>
      </c>
    </row>
    <row r="130" spans="1:1" x14ac:dyDescent="0.45">
      <c r="A130" s="2">
        <v>5.07</v>
      </c>
    </row>
    <row r="131" spans="1:1" x14ac:dyDescent="0.45">
      <c r="A131" s="2">
        <v>4.08</v>
      </c>
    </row>
    <row r="132" spans="1:1" x14ac:dyDescent="0.45">
      <c r="A132" s="2">
        <v>5.81</v>
      </c>
    </row>
    <row r="133" spans="1:1" x14ac:dyDescent="0.45">
      <c r="A133" s="2">
        <v>4.7300000000000004</v>
      </c>
    </row>
    <row r="134" spans="1:1" x14ac:dyDescent="0.45">
      <c r="A134" s="2">
        <v>5.64</v>
      </c>
    </row>
    <row r="135" spans="1:1" x14ac:dyDescent="0.45">
      <c r="A135" s="2">
        <v>5.32</v>
      </c>
    </row>
    <row r="136" spans="1:1" x14ac:dyDescent="0.45">
      <c r="A136" s="2">
        <v>4.97</v>
      </c>
    </row>
    <row r="137" spans="1:1" x14ac:dyDescent="0.45">
      <c r="A137" s="2">
        <v>4.5199999999999996</v>
      </c>
    </row>
    <row r="138" spans="1:1" x14ac:dyDescent="0.45">
      <c r="A138" s="2">
        <v>4.4400000000000004</v>
      </c>
    </row>
    <row r="139" spans="1:1" x14ac:dyDescent="0.45">
      <c r="A139" s="2">
        <v>5.87</v>
      </c>
    </row>
    <row r="140" spans="1:1" x14ac:dyDescent="0.45">
      <c r="A140" s="2">
        <v>4.41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0356-45A2-4912-8640-6708732EC432}">
  <dimension ref="A1:Y120"/>
  <sheetViews>
    <sheetView topLeftCell="C1" workbookViewId="0">
      <selection activeCell="S23" sqref="S23"/>
    </sheetView>
  </sheetViews>
  <sheetFormatPr defaultRowHeight="14.25" x14ac:dyDescent="0.45"/>
  <sheetData>
    <row r="1" spans="1:25" x14ac:dyDescent="0.45">
      <c r="A1" s="3">
        <v>4</v>
      </c>
      <c r="C1" t="s">
        <v>81</v>
      </c>
      <c r="D1" t="s">
        <v>82</v>
      </c>
    </row>
    <row r="2" spans="1:25" x14ac:dyDescent="0.45">
      <c r="A2" s="3">
        <v>1</v>
      </c>
      <c r="D2" t="s">
        <v>50</v>
      </c>
    </row>
    <row r="3" spans="1:25" x14ac:dyDescent="0.45">
      <c r="A3" s="3">
        <v>3</v>
      </c>
    </row>
    <row r="4" spans="1:25" x14ac:dyDescent="0.45">
      <c r="A4" s="3">
        <v>1</v>
      </c>
      <c r="D4" t="s">
        <v>2</v>
      </c>
      <c r="M4" t="s">
        <v>53</v>
      </c>
      <c r="N4" t="s">
        <v>84</v>
      </c>
      <c r="T4">
        <f>AVERAGE(A1:A120)</f>
        <v>2.9333333333333331</v>
      </c>
    </row>
    <row r="5" spans="1:25" x14ac:dyDescent="0.45">
      <c r="A5" s="3">
        <v>1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N5" t="s">
        <v>85</v>
      </c>
      <c r="T5">
        <f>_xlfn.STDEV.S(A1:A120)</f>
        <v>2.0072697010270106</v>
      </c>
      <c r="U5">
        <v>2.0099999999999998</v>
      </c>
    </row>
    <row r="6" spans="1:25" x14ac:dyDescent="0.45">
      <c r="A6" s="3">
        <v>6</v>
      </c>
      <c r="D6">
        <v>0</v>
      </c>
      <c r="E6">
        <f>COUNTIF($A$1:$A$120,D6)</f>
        <v>17</v>
      </c>
      <c r="F6" s="7">
        <f>E6/120</f>
        <v>0.14166666666666666</v>
      </c>
      <c r="G6">
        <f>E6</f>
        <v>17</v>
      </c>
      <c r="H6" s="8">
        <f>F6</f>
        <v>0.14166666666666666</v>
      </c>
      <c r="N6" t="s">
        <v>86</v>
      </c>
      <c r="Y6">
        <f>MEDIAN(A1:A120)</f>
        <v>3</v>
      </c>
    </row>
    <row r="7" spans="1:25" ht="14.65" thickBot="1" x14ac:dyDescent="0.5">
      <c r="A7" s="3">
        <v>0</v>
      </c>
      <c r="D7">
        <v>1</v>
      </c>
      <c r="E7">
        <f t="shared" ref="E7:E12" si="0">COUNTIF($A$1:$A$120,D7)</f>
        <v>18</v>
      </c>
      <c r="F7" s="7">
        <f t="shared" ref="F7:F12" si="1">E7/120</f>
        <v>0.15</v>
      </c>
      <c r="G7">
        <f>G6+E7</f>
        <v>35</v>
      </c>
      <c r="H7" s="8">
        <f>H6+F7</f>
        <v>0.29166666666666663</v>
      </c>
    </row>
    <row r="8" spans="1:25" x14ac:dyDescent="0.45">
      <c r="A8" s="3">
        <v>3</v>
      </c>
      <c r="D8">
        <v>2</v>
      </c>
      <c r="E8">
        <f t="shared" si="0"/>
        <v>19</v>
      </c>
      <c r="F8" s="7">
        <f t="shared" si="1"/>
        <v>0.15833333333333333</v>
      </c>
      <c r="G8">
        <f t="shared" ref="G8:G12" si="2">G7+E8</f>
        <v>54</v>
      </c>
      <c r="H8" s="8">
        <f t="shared" ref="H8:H12" si="3">H7+F8</f>
        <v>0.44999999999999996</v>
      </c>
      <c r="M8" s="12" t="s">
        <v>15</v>
      </c>
      <c r="N8" s="12"/>
    </row>
    <row r="9" spans="1:25" x14ac:dyDescent="0.45">
      <c r="A9" s="3">
        <v>6</v>
      </c>
      <c r="D9">
        <v>3</v>
      </c>
      <c r="E9">
        <f t="shared" si="0"/>
        <v>19</v>
      </c>
      <c r="F9" s="7">
        <f t="shared" si="1"/>
        <v>0.15833333333333333</v>
      </c>
      <c r="G9">
        <f t="shared" si="2"/>
        <v>73</v>
      </c>
      <c r="H9" s="8">
        <f t="shared" si="3"/>
        <v>0.60833333333333328</v>
      </c>
      <c r="M9" s="10"/>
      <c r="N9" s="10"/>
    </row>
    <row r="10" spans="1:25" x14ac:dyDescent="0.45">
      <c r="A10" s="3">
        <v>2</v>
      </c>
      <c r="D10">
        <v>4</v>
      </c>
      <c r="E10">
        <f t="shared" si="0"/>
        <v>14</v>
      </c>
      <c r="F10" s="7">
        <f t="shared" si="1"/>
        <v>0.11666666666666667</v>
      </c>
      <c r="G10">
        <f t="shared" si="2"/>
        <v>87</v>
      </c>
      <c r="H10" s="8">
        <f t="shared" si="3"/>
        <v>0.72499999999999998</v>
      </c>
      <c r="M10" s="10" t="s">
        <v>16</v>
      </c>
      <c r="N10" s="10">
        <v>2.9333333333333331</v>
      </c>
    </row>
    <row r="11" spans="1:25" x14ac:dyDescent="0.45">
      <c r="A11" s="3">
        <v>1</v>
      </c>
      <c r="D11">
        <v>5</v>
      </c>
      <c r="E11">
        <f t="shared" si="0"/>
        <v>15</v>
      </c>
      <c r="F11" s="7">
        <f t="shared" si="1"/>
        <v>0.125</v>
      </c>
      <c r="G11">
        <f t="shared" si="2"/>
        <v>102</v>
      </c>
      <c r="H11" s="8">
        <f t="shared" si="3"/>
        <v>0.85</v>
      </c>
      <c r="M11" s="10" t="s">
        <v>17</v>
      </c>
      <c r="N11" s="10">
        <v>0.18323781570819073</v>
      </c>
    </row>
    <row r="12" spans="1:25" x14ac:dyDescent="0.45">
      <c r="A12" s="3">
        <v>5</v>
      </c>
      <c r="D12">
        <v>6</v>
      </c>
      <c r="E12">
        <f t="shared" si="0"/>
        <v>18</v>
      </c>
      <c r="F12" s="7">
        <f t="shared" si="1"/>
        <v>0.15</v>
      </c>
      <c r="G12">
        <f t="shared" si="2"/>
        <v>120</v>
      </c>
      <c r="H12" s="8">
        <f t="shared" si="3"/>
        <v>1</v>
      </c>
      <c r="M12" s="10" t="s">
        <v>18</v>
      </c>
      <c r="N12" s="10">
        <v>3</v>
      </c>
    </row>
    <row r="13" spans="1:25" x14ac:dyDescent="0.45">
      <c r="A13" s="3">
        <v>6</v>
      </c>
      <c r="D13" s="5" t="s">
        <v>10</v>
      </c>
      <c r="E13">
        <f>SUM(E6:E12)</f>
        <v>120</v>
      </c>
      <c r="F13" s="8">
        <f>SUM(F6:F12)</f>
        <v>1</v>
      </c>
      <c r="M13" s="10" t="s">
        <v>19</v>
      </c>
      <c r="N13" s="10">
        <v>3</v>
      </c>
    </row>
    <row r="14" spans="1:25" x14ac:dyDescent="0.45">
      <c r="A14" s="3">
        <v>5</v>
      </c>
      <c r="M14" s="10" t="s">
        <v>20</v>
      </c>
      <c r="N14" s="10">
        <v>2.0072697010270106</v>
      </c>
    </row>
    <row r="15" spans="1:25" x14ac:dyDescent="0.45">
      <c r="A15" s="3">
        <v>3</v>
      </c>
      <c r="D15" t="s">
        <v>83</v>
      </c>
      <c r="M15" s="10" t="s">
        <v>21</v>
      </c>
      <c r="N15" s="10">
        <v>4.0291316526610643</v>
      </c>
    </row>
    <row r="16" spans="1:25" x14ac:dyDescent="0.45">
      <c r="A16" s="3">
        <v>3</v>
      </c>
      <c r="M16" s="10" t="s">
        <v>22</v>
      </c>
      <c r="N16" s="10">
        <v>-1.221637931304691</v>
      </c>
    </row>
    <row r="17" spans="1:14" x14ac:dyDescent="0.45">
      <c r="A17" s="3">
        <v>6</v>
      </c>
      <c r="M17" s="10" t="s">
        <v>23</v>
      </c>
      <c r="N17" s="10">
        <v>9.9250859162303792E-2</v>
      </c>
    </row>
    <row r="18" spans="1:14" x14ac:dyDescent="0.45">
      <c r="A18" s="3">
        <v>2</v>
      </c>
      <c r="M18" s="10" t="s">
        <v>24</v>
      </c>
      <c r="N18" s="10">
        <v>6</v>
      </c>
    </row>
    <row r="19" spans="1:14" x14ac:dyDescent="0.45">
      <c r="A19" s="3">
        <v>5</v>
      </c>
      <c r="M19" s="10" t="s">
        <v>25</v>
      </c>
      <c r="N19" s="10">
        <v>0</v>
      </c>
    </row>
    <row r="20" spans="1:14" x14ac:dyDescent="0.45">
      <c r="A20" s="3">
        <v>4</v>
      </c>
      <c r="M20" s="10" t="s">
        <v>26</v>
      </c>
      <c r="N20" s="10">
        <v>6</v>
      </c>
    </row>
    <row r="21" spans="1:14" x14ac:dyDescent="0.45">
      <c r="A21" s="3">
        <v>3</v>
      </c>
      <c r="M21" s="10" t="s">
        <v>27</v>
      </c>
      <c r="N21" s="10">
        <v>352</v>
      </c>
    </row>
    <row r="22" spans="1:14" ht="14.65" thickBot="1" x14ac:dyDescent="0.5">
      <c r="A22" s="3">
        <v>5</v>
      </c>
      <c r="M22" s="11" t="s">
        <v>28</v>
      </c>
      <c r="N22" s="11">
        <v>120</v>
      </c>
    </row>
    <row r="23" spans="1:14" x14ac:dyDescent="0.45">
      <c r="A23" s="3">
        <v>1</v>
      </c>
    </row>
    <row r="24" spans="1:14" x14ac:dyDescent="0.45">
      <c r="A24" s="3">
        <v>1</v>
      </c>
    </row>
    <row r="25" spans="1:14" x14ac:dyDescent="0.45">
      <c r="A25" s="3">
        <v>2</v>
      </c>
    </row>
    <row r="26" spans="1:14" x14ac:dyDescent="0.45">
      <c r="A26" s="3">
        <v>3</v>
      </c>
    </row>
    <row r="27" spans="1:14" x14ac:dyDescent="0.45">
      <c r="A27" s="3">
        <v>1</v>
      </c>
    </row>
    <row r="28" spans="1:14" x14ac:dyDescent="0.45">
      <c r="A28" s="3">
        <v>0</v>
      </c>
    </row>
    <row r="29" spans="1:14" x14ac:dyDescent="0.45">
      <c r="A29" s="3">
        <v>1</v>
      </c>
    </row>
    <row r="30" spans="1:14" x14ac:dyDescent="0.45">
      <c r="A30" s="3">
        <v>0</v>
      </c>
    </row>
    <row r="31" spans="1:14" x14ac:dyDescent="0.45">
      <c r="A31" s="3">
        <v>1</v>
      </c>
    </row>
    <row r="32" spans="1:14" x14ac:dyDescent="0.45">
      <c r="A32" s="3">
        <v>2</v>
      </c>
    </row>
    <row r="33" spans="1:1" x14ac:dyDescent="0.45">
      <c r="A33" s="3">
        <v>2</v>
      </c>
    </row>
    <row r="34" spans="1:1" x14ac:dyDescent="0.45">
      <c r="A34" s="3">
        <v>6</v>
      </c>
    </row>
    <row r="35" spans="1:1" x14ac:dyDescent="0.45">
      <c r="A35" s="3">
        <v>1</v>
      </c>
    </row>
    <row r="36" spans="1:1" x14ac:dyDescent="0.45">
      <c r="A36" s="3">
        <v>3</v>
      </c>
    </row>
    <row r="37" spans="1:1" x14ac:dyDescent="0.45">
      <c r="A37" s="3">
        <v>3</v>
      </c>
    </row>
    <row r="38" spans="1:1" x14ac:dyDescent="0.45">
      <c r="A38" s="3">
        <v>1</v>
      </c>
    </row>
    <row r="39" spans="1:1" x14ac:dyDescent="0.45">
      <c r="A39" s="3">
        <v>2</v>
      </c>
    </row>
    <row r="40" spans="1:1" x14ac:dyDescent="0.45">
      <c r="A40" s="3">
        <v>2</v>
      </c>
    </row>
    <row r="41" spans="1:1" x14ac:dyDescent="0.45">
      <c r="A41" s="3">
        <v>5</v>
      </c>
    </row>
    <row r="42" spans="1:1" x14ac:dyDescent="0.45">
      <c r="A42" s="3">
        <v>3</v>
      </c>
    </row>
    <row r="43" spans="1:1" x14ac:dyDescent="0.45">
      <c r="A43" s="3">
        <v>1</v>
      </c>
    </row>
    <row r="44" spans="1:1" x14ac:dyDescent="0.45">
      <c r="A44" s="3">
        <v>2</v>
      </c>
    </row>
    <row r="45" spans="1:1" x14ac:dyDescent="0.45">
      <c r="A45" s="3">
        <v>2</v>
      </c>
    </row>
    <row r="46" spans="1:1" x14ac:dyDescent="0.45">
      <c r="A46" s="3">
        <v>3</v>
      </c>
    </row>
    <row r="47" spans="1:1" x14ac:dyDescent="0.45">
      <c r="A47" s="3">
        <v>5</v>
      </c>
    </row>
    <row r="48" spans="1:1" x14ac:dyDescent="0.45">
      <c r="A48" s="3">
        <v>6</v>
      </c>
    </row>
    <row r="49" spans="1:1" x14ac:dyDescent="0.45">
      <c r="A49" s="3">
        <v>3</v>
      </c>
    </row>
    <row r="50" spans="1:1" x14ac:dyDescent="0.45">
      <c r="A50" s="3">
        <v>1</v>
      </c>
    </row>
    <row r="51" spans="1:1" x14ac:dyDescent="0.45">
      <c r="A51" s="3">
        <v>1</v>
      </c>
    </row>
    <row r="52" spans="1:1" x14ac:dyDescent="0.45">
      <c r="A52" s="3">
        <v>0</v>
      </c>
    </row>
    <row r="53" spans="1:1" x14ac:dyDescent="0.45">
      <c r="A53" s="3">
        <v>5</v>
      </c>
    </row>
    <row r="54" spans="1:1" x14ac:dyDescent="0.45">
      <c r="A54" s="3">
        <v>6</v>
      </c>
    </row>
    <row r="55" spans="1:1" x14ac:dyDescent="0.45">
      <c r="A55" s="3">
        <v>4</v>
      </c>
    </row>
    <row r="56" spans="1:1" x14ac:dyDescent="0.45">
      <c r="A56" s="3">
        <v>6</v>
      </c>
    </row>
    <row r="57" spans="1:1" x14ac:dyDescent="0.45">
      <c r="A57" s="3">
        <v>3</v>
      </c>
    </row>
    <row r="58" spans="1:1" x14ac:dyDescent="0.45">
      <c r="A58" s="3">
        <v>2</v>
      </c>
    </row>
    <row r="59" spans="1:1" x14ac:dyDescent="0.45">
      <c r="A59" s="3">
        <v>4</v>
      </c>
    </row>
    <row r="60" spans="1:1" x14ac:dyDescent="0.45">
      <c r="A60" s="3">
        <v>4</v>
      </c>
    </row>
    <row r="61" spans="1:1" x14ac:dyDescent="0.45">
      <c r="A61" s="3">
        <v>5</v>
      </c>
    </row>
    <row r="62" spans="1:1" x14ac:dyDescent="0.45">
      <c r="A62" s="3">
        <v>0</v>
      </c>
    </row>
    <row r="63" spans="1:1" x14ac:dyDescent="0.45">
      <c r="A63" s="3">
        <v>5</v>
      </c>
    </row>
    <row r="64" spans="1:1" x14ac:dyDescent="0.45">
      <c r="A64" s="3">
        <v>2</v>
      </c>
    </row>
    <row r="65" spans="1:1" x14ac:dyDescent="0.45">
      <c r="A65" s="3">
        <v>3</v>
      </c>
    </row>
    <row r="66" spans="1:1" x14ac:dyDescent="0.45">
      <c r="A66" s="3">
        <v>2</v>
      </c>
    </row>
    <row r="67" spans="1:1" x14ac:dyDescent="0.45">
      <c r="A67" s="3">
        <v>5</v>
      </c>
    </row>
    <row r="68" spans="1:1" x14ac:dyDescent="0.45">
      <c r="A68" s="3">
        <v>3</v>
      </c>
    </row>
    <row r="69" spans="1:1" x14ac:dyDescent="0.45">
      <c r="A69" s="3">
        <v>4</v>
      </c>
    </row>
    <row r="70" spans="1:1" x14ac:dyDescent="0.45">
      <c r="A70" s="3">
        <v>3</v>
      </c>
    </row>
    <row r="71" spans="1:1" x14ac:dyDescent="0.45">
      <c r="A71" s="3">
        <v>4</v>
      </c>
    </row>
    <row r="72" spans="1:1" x14ac:dyDescent="0.45">
      <c r="A72" s="3">
        <v>4</v>
      </c>
    </row>
    <row r="73" spans="1:1" x14ac:dyDescent="0.45">
      <c r="A73" s="3">
        <v>1</v>
      </c>
    </row>
    <row r="74" spans="1:1" x14ac:dyDescent="0.45">
      <c r="A74" s="3">
        <v>0</v>
      </c>
    </row>
    <row r="75" spans="1:1" x14ac:dyDescent="0.45">
      <c r="A75" s="3">
        <v>4</v>
      </c>
    </row>
    <row r="76" spans="1:1" x14ac:dyDescent="0.45">
      <c r="A76" s="3">
        <v>4</v>
      </c>
    </row>
    <row r="77" spans="1:1" x14ac:dyDescent="0.45">
      <c r="A77" s="3">
        <v>0</v>
      </c>
    </row>
    <row r="78" spans="1:1" x14ac:dyDescent="0.45">
      <c r="A78" s="3">
        <v>6</v>
      </c>
    </row>
    <row r="79" spans="1:1" x14ac:dyDescent="0.45">
      <c r="A79" s="3">
        <v>3</v>
      </c>
    </row>
    <row r="80" spans="1:1" x14ac:dyDescent="0.45">
      <c r="A80" s="3">
        <v>1</v>
      </c>
    </row>
    <row r="81" spans="1:1" x14ac:dyDescent="0.45">
      <c r="A81" s="3">
        <v>3</v>
      </c>
    </row>
    <row r="82" spans="1:1" x14ac:dyDescent="0.45">
      <c r="A82" s="3">
        <v>4</v>
      </c>
    </row>
    <row r="83" spans="1:1" x14ac:dyDescent="0.45">
      <c r="A83" s="3">
        <v>1</v>
      </c>
    </row>
    <row r="84" spans="1:1" x14ac:dyDescent="0.45">
      <c r="A84" s="3">
        <v>6</v>
      </c>
    </row>
    <row r="85" spans="1:1" x14ac:dyDescent="0.45">
      <c r="A85" s="3">
        <v>6</v>
      </c>
    </row>
    <row r="86" spans="1:1" x14ac:dyDescent="0.45">
      <c r="A86" s="3">
        <v>0</v>
      </c>
    </row>
    <row r="87" spans="1:1" x14ac:dyDescent="0.45">
      <c r="A87" s="3">
        <v>3</v>
      </c>
    </row>
    <row r="88" spans="1:1" x14ac:dyDescent="0.45">
      <c r="A88" s="3">
        <v>0</v>
      </c>
    </row>
    <row r="89" spans="1:1" x14ac:dyDescent="0.45">
      <c r="A89" s="3">
        <v>0</v>
      </c>
    </row>
    <row r="90" spans="1:1" x14ac:dyDescent="0.45">
      <c r="A90" s="3">
        <v>4</v>
      </c>
    </row>
    <row r="91" spans="1:1" x14ac:dyDescent="0.45">
      <c r="A91" s="3">
        <v>2</v>
      </c>
    </row>
    <row r="92" spans="1:1" x14ac:dyDescent="0.45">
      <c r="A92" s="3">
        <v>2</v>
      </c>
    </row>
    <row r="93" spans="1:1" x14ac:dyDescent="0.45">
      <c r="A93" s="3">
        <v>5</v>
      </c>
    </row>
    <row r="94" spans="1:1" x14ac:dyDescent="0.45">
      <c r="A94" s="3">
        <v>6</v>
      </c>
    </row>
    <row r="95" spans="1:1" x14ac:dyDescent="0.45">
      <c r="A95" s="3">
        <v>2</v>
      </c>
    </row>
    <row r="96" spans="1:1" x14ac:dyDescent="0.45">
      <c r="A96" s="3">
        <v>6</v>
      </c>
    </row>
    <row r="97" spans="1:1" x14ac:dyDescent="0.45">
      <c r="A97" s="3">
        <v>2</v>
      </c>
    </row>
    <row r="98" spans="1:1" x14ac:dyDescent="0.45">
      <c r="A98" s="3">
        <v>5</v>
      </c>
    </row>
    <row r="99" spans="1:1" x14ac:dyDescent="0.45">
      <c r="A99" s="3">
        <v>6</v>
      </c>
    </row>
    <row r="100" spans="1:1" x14ac:dyDescent="0.45">
      <c r="A100" s="3">
        <v>5</v>
      </c>
    </row>
    <row r="101" spans="1:1" x14ac:dyDescent="0.45">
      <c r="A101" s="3">
        <v>0</v>
      </c>
    </row>
    <row r="102" spans="1:1" x14ac:dyDescent="0.45">
      <c r="A102" s="3">
        <v>4</v>
      </c>
    </row>
    <row r="103" spans="1:1" x14ac:dyDescent="0.45">
      <c r="A103" s="3">
        <v>1</v>
      </c>
    </row>
    <row r="104" spans="1:1" x14ac:dyDescent="0.45">
      <c r="A104" s="3">
        <v>0</v>
      </c>
    </row>
    <row r="105" spans="1:1" x14ac:dyDescent="0.45">
      <c r="A105" s="3">
        <v>2</v>
      </c>
    </row>
    <row r="106" spans="1:1" x14ac:dyDescent="0.45">
      <c r="A106" s="3">
        <v>6</v>
      </c>
    </row>
    <row r="107" spans="1:1" x14ac:dyDescent="0.45">
      <c r="A107" s="3">
        <v>2</v>
      </c>
    </row>
    <row r="108" spans="1:1" x14ac:dyDescent="0.45">
      <c r="A108" s="3">
        <v>0</v>
      </c>
    </row>
    <row r="109" spans="1:1" x14ac:dyDescent="0.45">
      <c r="A109" s="3">
        <v>0</v>
      </c>
    </row>
    <row r="110" spans="1:1" x14ac:dyDescent="0.45">
      <c r="A110" s="3">
        <v>6</v>
      </c>
    </row>
    <row r="111" spans="1:1" x14ac:dyDescent="0.45">
      <c r="A111" s="3">
        <v>0</v>
      </c>
    </row>
    <row r="112" spans="1:1" x14ac:dyDescent="0.45">
      <c r="A112" s="3">
        <v>5</v>
      </c>
    </row>
    <row r="113" spans="1:1" x14ac:dyDescent="0.45">
      <c r="A113" s="3">
        <v>0</v>
      </c>
    </row>
    <row r="114" spans="1:1" x14ac:dyDescent="0.45">
      <c r="A114" s="3">
        <v>6</v>
      </c>
    </row>
    <row r="115" spans="1:1" x14ac:dyDescent="0.45">
      <c r="A115" s="3">
        <v>3</v>
      </c>
    </row>
    <row r="116" spans="1:1" x14ac:dyDescent="0.45">
      <c r="A116" s="3">
        <v>4</v>
      </c>
    </row>
    <row r="117" spans="1:1" x14ac:dyDescent="0.45">
      <c r="A117" s="3">
        <v>6</v>
      </c>
    </row>
    <row r="118" spans="1:1" x14ac:dyDescent="0.45">
      <c r="A118" s="3">
        <v>0</v>
      </c>
    </row>
    <row r="119" spans="1:1" x14ac:dyDescent="0.45">
      <c r="A119" s="3">
        <v>2</v>
      </c>
    </row>
    <row r="120" spans="1:1" x14ac:dyDescent="0.45">
      <c r="A120" s="3">
        <v>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A3BF-49A6-4ACD-A4CC-6B431B0B6FF4}">
  <dimension ref="A1:A120"/>
  <sheetViews>
    <sheetView workbookViewId="0">
      <selection activeCell="H29" sqref="H29"/>
    </sheetView>
  </sheetViews>
  <sheetFormatPr defaultRowHeight="14.25" x14ac:dyDescent="0.45"/>
  <sheetData>
    <row r="1" spans="1:1" x14ac:dyDescent="0.45">
      <c r="A1" s="4">
        <v>1.88</v>
      </c>
    </row>
    <row r="2" spans="1:1" x14ac:dyDescent="0.45">
      <c r="A2" s="4">
        <v>1.8</v>
      </c>
    </row>
    <row r="3" spans="1:1" x14ac:dyDescent="0.45">
      <c r="A3" s="4">
        <v>1.66</v>
      </c>
    </row>
    <row r="4" spans="1:1" x14ac:dyDescent="0.45">
      <c r="A4" s="4">
        <v>1.84</v>
      </c>
    </row>
    <row r="5" spans="1:1" x14ac:dyDescent="0.45">
      <c r="A5" s="4">
        <v>1.79</v>
      </c>
    </row>
    <row r="6" spans="1:1" x14ac:dyDescent="0.45">
      <c r="A6" s="4">
        <v>1.7</v>
      </c>
    </row>
    <row r="7" spans="1:1" x14ac:dyDescent="0.45">
      <c r="A7" s="4">
        <v>1.8</v>
      </c>
    </row>
    <row r="8" spans="1:1" x14ac:dyDescent="0.45">
      <c r="A8" s="4">
        <v>1.87</v>
      </c>
    </row>
    <row r="9" spans="1:1" x14ac:dyDescent="0.45">
      <c r="A9" s="4">
        <v>1.7</v>
      </c>
    </row>
    <row r="10" spans="1:1" x14ac:dyDescent="0.45">
      <c r="A10" s="4">
        <v>1.75</v>
      </c>
    </row>
    <row r="11" spans="1:1" x14ac:dyDescent="0.45">
      <c r="A11" s="4">
        <v>1.73</v>
      </c>
    </row>
    <row r="12" spans="1:1" x14ac:dyDescent="0.45">
      <c r="A12" s="4">
        <v>1.87</v>
      </c>
    </row>
    <row r="13" spans="1:1" x14ac:dyDescent="0.45">
      <c r="A13" s="4">
        <v>1.76</v>
      </c>
    </row>
    <row r="14" spans="1:1" x14ac:dyDescent="0.45">
      <c r="A14" s="4">
        <v>1.68</v>
      </c>
    </row>
    <row r="15" spans="1:1" x14ac:dyDescent="0.45">
      <c r="A15" s="4">
        <v>1.95</v>
      </c>
    </row>
    <row r="16" spans="1:1" x14ac:dyDescent="0.45">
      <c r="A16" s="4">
        <v>1.78</v>
      </c>
    </row>
    <row r="17" spans="1:1" x14ac:dyDescent="0.45">
      <c r="A17" s="4">
        <v>1.75</v>
      </c>
    </row>
    <row r="18" spans="1:1" x14ac:dyDescent="0.45">
      <c r="A18" s="4">
        <v>1.89</v>
      </c>
    </row>
    <row r="19" spans="1:1" x14ac:dyDescent="0.45">
      <c r="A19" s="4">
        <v>1.75</v>
      </c>
    </row>
    <row r="20" spans="1:1" x14ac:dyDescent="0.45">
      <c r="A20" s="4">
        <v>1.9</v>
      </c>
    </row>
    <row r="21" spans="1:1" x14ac:dyDescent="0.45">
      <c r="A21" s="4">
        <v>1.82</v>
      </c>
    </row>
    <row r="22" spans="1:1" x14ac:dyDescent="0.45">
      <c r="A22" s="4">
        <v>1.8</v>
      </c>
    </row>
    <row r="23" spans="1:1" x14ac:dyDescent="0.45">
      <c r="A23" s="4">
        <v>1.88</v>
      </c>
    </row>
    <row r="24" spans="1:1" x14ac:dyDescent="0.45">
      <c r="A24" s="4">
        <v>1.87</v>
      </c>
    </row>
    <row r="25" spans="1:1" x14ac:dyDescent="0.45">
      <c r="A25" s="4">
        <v>1.76</v>
      </c>
    </row>
    <row r="26" spans="1:1" x14ac:dyDescent="0.45">
      <c r="A26" s="4">
        <v>1.88</v>
      </c>
    </row>
    <row r="27" spans="1:1" x14ac:dyDescent="0.45">
      <c r="A27" s="4">
        <v>1.83</v>
      </c>
    </row>
    <row r="28" spans="1:1" x14ac:dyDescent="0.45">
      <c r="A28" s="4">
        <v>1.92</v>
      </c>
    </row>
    <row r="29" spans="1:1" x14ac:dyDescent="0.45">
      <c r="A29" s="4">
        <v>1.82</v>
      </c>
    </row>
    <row r="30" spans="1:1" x14ac:dyDescent="0.45">
      <c r="A30" s="4">
        <v>1.9</v>
      </c>
    </row>
    <row r="31" spans="1:1" x14ac:dyDescent="0.45">
      <c r="A31" s="4">
        <v>1.76</v>
      </c>
    </row>
    <row r="32" spans="1:1" x14ac:dyDescent="0.45">
      <c r="A32" s="4">
        <v>1.83</v>
      </c>
    </row>
    <row r="33" spans="1:1" x14ac:dyDescent="0.45">
      <c r="A33" s="4">
        <v>1.85</v>
      </c>
    </row>
    <row r="34" spans="1:1" x14ac:dyDescent="0.45">
      <c r="A34" s="4">
        <v>1.78</v>
      </c>
    </row>
    <row r="35" spans="1:1" x14ac:dyDescent="0.45">
      <c r="A35" s="4">
        <v>1.75</v>
      </c>
    </row>
    <row r="36" spans="1:1" x14ac:dyDescent="0.45">
      <c r="A36" s="4">
        <v>1.85</v>
      </c>
    </row>
    <row r="37" spans="1:1" x14ac:dyDescent="0.45">
      <c r="A37" s="4">
        <v>1.98</v>
      </c>
    </row>
    <row r="38" spans="1:1" x14ac:dyDescent="0.45">
      <c r="A38" s="4">
        <v>1.81</v>
      </c>
    </row>
    <row r="39" spans="1:1" x14ac:dyDescent="0.45">
      <c r="A39" s="4">
        <v>1.91</v>
      </c>
    </row>
    <row r="40" spans="1:1" x14ac:dyDescent="0.45">
      <c r="A40" s="4">
        <v>1.92</v>
      </c>
    </row>
    <row r="41" spans="1:1" x14ac:dyDescent="0.45">
      <c r="A41" s="4">
        <v>1.83</v>
      </c>
    </row>
    <row r="42" spans="1:1" x14ac:dyDescent="0.45">
      <c r="A42" s="4">
        <v>1.8</v>
      </c>
    </row>
    <row r="43" spans="1:1" x14ac:dyDescent="0.45">
      <c r="A43" s="4">
        <v>1.95</v>
      </c>
    </row>
    <row r="44" spans="1:1" x14ac:dyDescent="0.45">
      <c r="A44" s="4">
        <v>1.89</v>
      </c>
    </row>
    <row r="45" spans="1:1" x14ac:dyDescent="0.45">
      <c r="A45" s="4">
        <v>1.77</v>
      </c>
    </row>
    <row r="46" spans="1:1" x14ac:dyDescent="0.45">
      <c r="A46" s="4">
        <v>1.7</v>
      </c>
    </row>
    <row r="47" spans="1:1" x14ac:dyDescent="0.45">
      <c r="A47" s="4">
        <v>1.88</v>
      </c>
    </row>
    <row r="48" spans="1:1" x14ac:dyDescent="0.45">
      <c r="A48" s="4">
        <v>1.8</v>
      </c>
    </row>
    <row r="49" spans="1:1" x14ac:dyDescent="0.45">
      <c r="A49" s="4">
        <v>1.85</v>
      </c>
    </row>
    <row r="50" spans="1:1" x14ac:dyDescent="0.45">
      <c r="A50" s="4">
        <v>1.88</v>
      </c>
    </row>
    <row r="51" spans="1:1" x14ac:dyDescent="0.45">
      <c r="A51" s="4">
        <v>1.85</v>
      </c>
    </row>
    <row r="52" spans="1:1" x14ac:dyDescent="0.45">
      <c r="A52" s="4">
        <v>1.73</v>
      </c>
    </row>
    <row r="53" spans="1:1" x14ac:dyDescent="0.45">
      <c r="A53" s="4">
        <v>1.71</v>
      </c>
    </row>
    <row r="54" spans="1:1" x14ac:dyDescent="0.45">
      <c r="A54" s="4">
        <v>1.82</v>
      </c>
    </row>
    <row r="55" spans="1:1" x14ac:dyDescent="0.45">
      <c r="A55" s="4">
        <v>1.77</v>
      </c>
    </row>
    <row r="56" spans="1:1" x14ac:dyDescent="0.45">
      <c r="A56" s="4">
        <v>1.8</v>
      </c>
    </row>
    <row r="57" spans="1:1" x14ac:dyDescent="0.45">
      <c r="A57" s="4">
        <v>1.7</v>
      </c>
    </row>
    <row r="58" spans="1:1" x14ac:dyDescent="0.45">
      <c r="A58" s="4">
        <v>1.71</v>
      </c>
    </row>
    <row r="59" spans="1:1" x14ac:dyDescent="0.45">
      <c r="A59" s="4">
        <v>1.83</v>
      </c>
    </row>
    <row r="60" spans="1:1" x14ac:dyDescent="0.45">
      <c r="A60" s="4">
        <v>1.76</v>
      </c>
    </row>
    <row r="61" spans="1:1" x14ac:dyDescent="0.45">
      <c r="A61" s="4">
        <v>1.82</v>
      </c>
    </row>
    <row r="62" spans="1:1" x14ac:dyDescent="0.45">
      <c r="A62" s="4">
        <v>1.92</v>
      </c>
    </row>
    <row r="63" spans="1:1" x14ac:dyDescent="0.45">
      <c r="A63" s="4">
        <v>1.8</v>
      </c>
    </row>
    <row r="64" spans="1:1" x14ac:dyDescent="0.45">
      <c r="A64" s="4">
        <v>1.85</v>
      </c>
    </row>
    <row r="65" spans="1:1" x14ac:dyDescent="0.45">
      <c r="A65" s="4">
        <v>1.76</v>
      </c>
    </row>
    <row r="66" spans="1:1" x14ac:dyDescent="0.45">
      <c r="A66" s="4">
        <v>1.74</v>
      </c>
    </row>
    <row r="67" spans="1:1" x14ac:dyDescent="0.45">
      <c r="A67" s="4">
        <v>1.8</v>
      </c>
    </row>
    <row r="68" spans="1:1" x14ac:dyDescent="0.45">
      <c r="A68" s="4">
        <v>1.84</v>
      </c>
    </row>
    <row r="69" spans="1:1" x14ac:dyDescent="0.45">
      <c r="A69" s="4">
        <v>1.84</v>
      </c>
    </row>
    <row r="70" spans="1:1" x14ac:dyDescent="0.45">
      <c r="A70" s="4">
        <v>1.91</v>
      </c>
    </row>
    <row r="71" spans="1:1" x14ac:dyDescent="0.45">
      <c r="A71" s="4">
        <v>1.8</v>
      </c>
    </row>
    <row r="72" spans="1:1" x14ac:dyDescent="0.45">
      <c r="A72" s="4">
        <v>1.84</v>
      </c>
    </row>
    <row r="73" spans="1:1" x14ac:dyDescent="0.45">
      <c r="A73" s="4">
        <v>1.86</v>
      </c>
    </row>
    <row r="74" spans="1:1" x14ac:dyDescent="0.45">
      <c r="A74" s="4">
        <v>1.88</v>
      </c>
    </row>
    <row r="75" spans="1:1" x14ac:dyDescent="0.45">
      <c r="A75" s="4">
        <v>1.75</v>
      </c>
    </row>
    <row r="76" spans="1:1" x14ac:dyDescent="0.45">
      <c r="A76" s="4">
        <v>1.84</v>
      </c>
    </row>
    <row r="77" spans="1:1" x14ac:dyDescent="0.45">
      <c r="A77" s="4">
        <v>1.7</v>
      </c>
    </row>
    <row r="78" spans="1:1" x14ac:dyDescent="0.45">
      <c r="A78" s="4">
        <v>1.8</v>
      </c>
    </row>
    <row r="79" spans="1:1" x14ac:dyDescent="0.45">
      <c r="A79" s="4">
        <v>1.83</v>
      </c>
    </row>
    <row r="80" spans="1:1" x14ac:dyDescent="0.45">
      <c r="A80" s="4">
        <v>1.83</v>
      </c>
    </row>
    <row r="81" spans="1:1" x14ac:dyDescent="0.45">
      <c r="A81" s="4">
        <v>1.79</v>
      </c>
    </row>
    <row r="82" spans="1:1" x14ac:dyDescent="0.45">
      <c r="A82" s="4">
        <v>1.76</v>
      </c>
    </row>
    <row r="83" spans="1:1" x14ac:dyDescent="0.45">
      <c r="A83" s="4">
        <v>1.81</v>
      </c>
    </row>
    <row r="84" spans="1:1" x14ac:dyDescent="0.45">
      <c r="A84" s="4">
        <v>1.83</v>
      </c>
    </row>
    <row r="85" spans="1:1" x14ac:dyDescent="0.45">
      <c r="A85" s="4">
        <v>1.89</v>
      </c>
    </row>
    <row r="86" spans="1:1" x14ac:dyDescent="0.45">
      <c r="A86" s="4">
        <v>1.87</v>
      </c>
    </row>
    <row r="87" spans="1:1" x14ac:dyDescent="0.45">
      <c r="A87" s="4">
        <v>1.84</v>
      </c>
    </row>
    <row r="88" spans="1:1" x14ac:dyDescent="0.45">
      <c r="A88" s="4">
        <v>1.99</v>
      </c>
    </row>
    <row r="89" spans="1:1" x14ac:dyDescent="0.45">
      <c r="A89" s="4">
        <v>1.8</v>
      </c>
    </row>
    <row r="90" spans="1:1" x14ac:dyDescent="0.45">
      <c r="A90" s="4">
        <v>1.87</v>
      </c>
    </row>
    <row r="91" spans="1:1" x14ac:dyDescent="0.45">
      <c r="A91" s="4">
        <v>1.88</v>
      </c>
    </row>
    <row r="92" spans="1:1" x14ac:dyDescent="0.45">
      <c r="A92" s="4">
        <v>1.81</v>
      </c>
    </row>
    <row r="93" spans="1:1" x14ac:dyDescent="0.45">
      <c r="A93" s="4">
        <v>1.78</v>
      </c>
    </row>
    <row r="94" spans="1:1" x14ac:dyDescent="0.45">
      <c r="A94" s="4">
        <v>1.85</v>
      </c>
    </row>
    <row r="95" spans="1:1" x14ac:dyDescent="0.45">
      <c r="A95" s="4">
        <v>1.84</v>
      </c>
    </row>
    <row r="96" spans="1:1" x14ac:dyDescent="0.45">
      <c r="A96" s="4">
        <v>1.8</v>
      </c>
    </row>
    <row r="97" spans="1:1" x14ac:dyDescent="0.45">
      <c r="A97" s="4">
        <v>1.86</v>
      </c>
    </row>
    <row r="98" spans="1:1" x14ac:dyDescent="0.45">
      <c r="A98" s="4">
        <v>1.85</v>
      </c>
    </row>
    <row r="99" spans="1:1" x14ac:dyDescent="0.45">
      <c r="A99" s="4">
        <v>1.9</v>
      </c>
    </row>
    <row r="100" spans="1:1" x14ac:dyDescent="0.45">
      <c r="A100" s="4">
        <v>1.89</v>
      </c>
    </row>
    <row r="101" spans="1:1" x14ac:dyDescent="0.45">
      <c r="A101" s="4">
        <v>1.78</v>
      </c>
    </row>
    <row r="102" spans="1:1" x14ac:dyDescent="0.45">
      <c r="A102" s="4">
        <v>1.79</v>
      </c>
    </row>
    <row r="103" spans="1:1" x14ac:dyDescent="0.45">
      <c r="A103" s="4">
        <v>1.8</v>
      </c>
    </row>
    <row r="104" spans="1:1" x14ac:dyDescent="0.45">
      <c r="A104" s="4">
        <v>1.72</v>
      </c>
    </row>
    <row r="105" spans="1:1" x14ac:dyDescent="0.45">
      <c r="A105" s="4">
        <v>1.78</v>
      </c>
    </row>
    <row r="106" spans="1:1" x14ac:dyDescent="0.45">
      <c r="A106" s="4">
        <v>1.82</v>
      </c>
    </row>
    <row r="107" spans="1:1" x14ac:dyDescent="0.45">
      <c r="A107" s="4">
        <v>1.88</v>
      </c>
    </row>
    <row r="108" spans="1:1" x14ac:dyDescent="0.45">
      <c r="A108" s="4">
        <v>1.8</v>
      </c>
    </row>
    <row r="109" spans="1:1" x14ac:dyDescent="0.45">
      <c r="A109" s="4">
        <v>1.75</v>
      </c>
    </row>
    <row r="110" spans="1:1" x14ac:dyDescent="0.45">
      <c r="A110" s="4">
        <v>1.76</v>
      </c>
    </row>
    <row r="111" spans="1:1" x14ac:dyDescent="0.45">
      <c r="A111" s="4">
        <v>1.75</v>
      </c>
    </row>
    <row r="112" spans="1:1" x14ac:dyDescent="0.45">
      <c r="A112" s="4">
        <v>1.86</v>
      </c>
    </row>
    <row r="113" spans="1:1" x14ac:dyDescent="0.45">
      <c r="A113" s="4">
        <v>1.8</v>
      </c>
    </row>
    <row r="114" spans="1:1" x14ac:dyDescent="0.45">
      <c r="A114" s="4">
        <v>1.85</v>
      </c>
    </row>
    <row r="115" spans="1:1" x14ac:dyDescent="0.45">
      <c r="A115" s="4">
        <v>1.89</v>
      </c>
    </row>
    <row r="116" spans="1:1" x14ac:dyDescent="0.45">
      <c r="A116" s="4">
        <v>1.78</v>
      </c>
    </row>
    <row r="117" spans="1:1" x14ac:dyDescent="0.45">
      <c r="A117" s="4">
        <v>1.77</v>
      </c>
    </row>
    <row r="118" spans="1:1" x14ac:dyDescent="0.45">
      <c r="A118" s="4">
        <v>1.8</v>
      </c>
    </row>
    <row r="119" spans="1:1" x14ac:dyDescent="0.45">
      <c r="A119" s="4">
        <v>1.93</v>
      </c>
    </row>
    <row r="120" spans="1:1" x14ac:dyDescent="0.45">
      <c r="A120" s="4">
        <v>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7205-C16D-400D-8D34-4BA2A40C3372}">
  <dimension ref="A1:N120"/>
  <sheetViews>
    <sheetView tabSelected="1" workbookViewId="0">
      <selection activeCell="S18" sqref="S18"/>
    </sheetView>
  </sheetViews>
  <sheetFormatPr defaultRowHeight="14.25" x14ac:dyDescent="0.45"/>
  <sheetData>
    <row r="1" spans="1:14" x14ac:dyDescent="0.45">
      <c r="A1">
        <v>0.16</v>
      </c>
      <c r="C1" t="s">
        <v>87</v>
      </c>
      <c r="D1" t="s">
        <v>88</v>
      </c>
    </row>
    <row r="2" spans="1:14" x14ac:dyDescent="0.45">
      <c r="A2">
        <v>2.71</v>
      </c>
      <c r="D2" t="s">
        <v>35</v>
      </c>
    </row>
    <row r="3" spans="1:14" x14ac:dyDescent="0.45">
      <c r="A3">
        <v>1.1200000000000001</v>
      </c>
    </row>
    <row r="4" spans="1:14" x14ac:dyDescent="0.45">
      <c r="A4">
        <v>2.14</v>
      </c>
      <c r="D4" s="13" t="s">
        <v>60</v>
      </c>
      <c r="M4" t="s">
        <v>53</v>
      </c>
    </row>
    <row r="5" spans="1:14" x14ac:dyDescent="0.45">
      <c r="A5">
        <v>3.24</v>
      </c>
    </row>
    <row r="6" spans="1:14" x14ac:dyDescent="0.45">
      <c r="A6">
        <v>1.43</v>
      </c>
      <c r="D6" t="s">
        <v>4</v>
      </c>
      <c r="E6">
        <f>COUNT(A1:A120)</f>
        <v>120</v>
      </c>
      <c r="M6" t="s">
        <v>92</v>
      </c>
    </row>
    <row r="7" spans="1:14" x14ac:dyDescent="0.45">
      <c r="A7">
        <v>0.27</v>
      </c>
      <c r="D7" t="s">
        <v>36</v>
      </c>
      <c r="E7">
        <f>MAX(A1:A120)</f>
        <v>7.99</v>
      </c>
      <c r="M7" t="s">
        <v>93</v>
      </c>
    </row>
    <row r="8" spans="1:14" x14ac:dyDescent="0.45">
      <c r="A8">
        <v>4.34</v>
      </c>
      <c r="D8" t="s">
        <v>37</v>
      </c>
      <c r="E8">
        <f>MIN(A1:A120)</f>
        <v>0.16</v>
      </c>
      <c r="M8" t="s">
        <v>94</v>
      </c>
    </row>
    <row r="9" spans="1:14" x14ac:dyDescent="0.45">
      <c r="A9" s="4">
        <v>7</v>
      </c>
      <c r="D9" t="s">
        <v>38</v>
      </c>
      <c r="E9">
        <f>E7-E8</f>
        <v>7.83</v>
      </c>
      <c r="M9" t="s">
        <v>95</v>
      </c>
    </row>
    <row r="10" spans="1:14" x14ac:dyDescent="0.45">
      <c r="A10">
        <v>5.22</v>
      </c>
      <c r="D10" t="s">
        <v>39</v>
      </c>
      <c r="F10">
        <f>INT(LOG(120,2))+1</f>
        <v>7</v>
      </c>
      <c r="M10">
        <f>COUNTIF(A1:A120,"&lt;2")</f>
        <v>36</v>
      </c>
      <c r="N10">
        <f>36/120</f>
        <v>0.3</v>
      </c>
    </row>
    <row r="11" spans="1:14" x14ac:dyDescent="0.45">
      <c r="A11" s="4">
        <v>3.51</v>
      </c>
    </row>
    <row r="12" spans="1:14" x14ac:dyDescent="0.45">
      <c r="A12">
        <v>4.2300000000000004</v>
      </c>
      <c r="D12" t="s">
        <v>89</v>
      </c>
      <c r="F12">
        <f>(E7-E8)/7</f>
        <v>1.1185714285714285</v>
      </c>
      <c r="G12" t="s">
        <v>90</v>
      </c>
    </row>
    <row r="13" spans="1:14" x14ac:dyDescent="0.45">
      <c r="A13" s="4">
        <v>2.52</v>
      </c>
    </row>
    <row r="14" spans="1:14" x14ac:dyDescent="0.45">
      <c r="A14">
        <v>5.31</v>
      </c>
    </row>
    <row r="15" spans="1:14" x14ac:dyDescent="0.45">
      <c r="A15">
        <v>0.28000000000000003</v>
      </c>
      <c r="D15" t="s">
        <v>41</v>
      </c>
      <c r="G15" t="s">
        <v>2</v>
      </c>
    </row>
    <row r="16" spans="1:14" x14ac:dyDescent="0.45">
      <c r="A16">
        <v>1.32</v>
      </c>
      <c r="D16">
        <v>0.15</v>
      </c>
      <c r="G16" t="s">
        <v>44</v>
      </c>
      <c r="H16" t="s">
        <v>6</v>
      </c>
      <c r="I16" t="s">
        <v>7</v>
      </c>
      <c r="J16" t="s">
        <v>8</v>
      </c>
      <c r="K16" t="s">
        <v>9</v>
      </c>
    </row>
    <row r="17" spans="1:14" x14ac:dyDescent="0.45">
      <c r="A17">
        <v>2.34</v>
      </c>
      <c r="D17">
        <f>D16+1.12</f>
        <v>1.27</v>
      </c>
      <c r="G17" t="str">
        <f>CONCATENATE("]",D16,";",D17,"]")</f>
        <v>]0,15;1,27]</v>
      </c>
      <c r="H17">
        <f t="array" ref="H17:H23">FREQUENCY(A1:A120,D17:D23)</f>
        <v>23</v>
      </c>
      <c r="I17" s="7">
        <f>H17/120</f>
        <v>0.19166666666666668</v>
      </c>
      <c r="J17">
        <f>H17</f>
        <v>23</v>
      </c>
      <c r="K17" s="8">
        <f>I17</f>
        <v>0.19166666666666668</v>
      </c>
    </row>
    <row r="18" spans="1:14" x14ac:dyDescent="0.45">
      <c r="A18" s="4">
        <v>2.08</v>
      </c>
      <c r="D18">
        <f t="shared" ref="D18:D23" si="0">D17+1.12</f>
        <v>2.39</v>
      </c>
      <c r="G18" t="str">
        <f t="shared" ref="G18:G23" si="1">CONCATENATE("]",D17,";",D18,"]")</f>
        <v>]1,27;2,39]</v>
      </c>
      <c r="H18">
        <v>28</v>
      </c>
      <c r="I18" s="7">
        <f t="shared" ref="I18:I23" si="2">H18/120</f>
        <v>0.23333333333333334</v>
      </c>
      <c r="J18">
        <f>J17+H18</f>
        <v>51</v>
      </c>
      <c r="K18" s="8">
        <f>K17+I18</f>
        <v>0.42500000000000004</v>
      </c>
    </row>
    <row r="19" spans="1:14" ht="14.65" thickBot="1" x14ac:dyDescent="0.5">
      <c r="A19">
        <v>1.24</v>
      </c>
      <c r="D19">
        <f t="shared" si="0"/>
        <v>3.5100000000000002</v>
      </c>
      <c r="G19" t="str">
        <f t="shared" si="1"/>
        <v>]2,39;3,51]</v>
      </c>
      <c r="H19">
        <v>26</v>
      </c>
      <c r="I19" s="7">
        <f t="shared" si="2"/>
        <v>0.21666666666666667</v>
      </c>
      <c r="J19">
        <f t="shared" ref="J19:J23" si="3">J18+H19</f>
        <v>77</v>
      </c>
      <c r="K19" s="8">
        <f t="shared" ref="K19:K23" si="4">K18+I19</f>
        <v>0.64166666666666672</v>
      </c>
    </row>
    <row r="20" spans="1:14" x14ac:dyDescent="0.45">
      <c r="A20">
        <v>3.27</v>
      </c>
      <c r="D20">
        <f t="shared" si="0"/>
        <v>4.6300000000000008</v>
      </c>
      <c r="G20" t="str">
        <f t="shared" si="1"/>
        <v>]3,51;4,63]</v>
      </c>
      <c r="H20">
        <v>16</v>
      </c>
      <c r="I20" s="7">
        <f t="shared" si="2"/>
        <v>0.13333333333333333</v>
      </c>
      <c r="J20">
        <f t="shared" si="3"/>
        <v>93</v>
      </c>
      <c r="K20" s="8">
        <f t="shared" si="4"/>
        <v>0.77500000000000002</v>
      </c>
      <c r="M20" s="12" t="s">
        <v>15</v>
      </c>
      <c r="N20" s="12"/>
    </row>
    <row r="21" spans="1:14" x14ac:dyDescent="0.45">
      <c r="A21">
        <v>2.71</v>
      </c>
      <c r="D21">
        <f t="shared" si="0"/>
        <v>5.7500000000000009</v>
      </c>
      <c r="G21" t="str">
        <f t="shared" si="1"/>
        <v>]4,63;5,75]</v>
      </c>
      <c r="H21">
        <v>9</v>
      </c>
      <c r="I21" s="7">
        <f t="shared" si="2"/>
        <v>7.4999999999999997E-2</v>
      </c>
      <c r="J21">
        <f t="shared" si="3"/>
        <v>102</v>
      </c>
      <c r="K21" s="8">
        <f t="shared" si="4"/>
        <v>0.85</v>
      </c>
      <c r="M21" s="10"/>
      <c r="N21" s="10"/>
    </row>
    <row r="22" spans="1:14" x14ac:dyDescent="0.45">
      <c r="A22">
        <v>2.14</v>
      </c>
      <c r="D22">
        <f t="shared" si="0"/>
        <v>6.870000000000001</v>
      </c>
      <c r="G22" t="str">
        <f t="shared" si="1"/>
        <v>]5,75;6,87]</v>
      </c>
      <c r="H22">
        <v>9</v>
      </c>
      <c r="I22" s="7">
        <f t="shared" si="2"/>
        <v>7.4999999999999997E-2</v>
      </c>
      <c r="J22">
        <f t="shared" si="3"/>
        <v>111</v>
      </c>
      <c r="K22" s="8">
        <f t="shared" si="4"/>
        <v>0.92499999999999993</v>
      </c>
      <c r="M22" s="10" t="s">
        <v>16</v>
      </c>
      <c r="N22" s="10">
        <v>3.1331666666666669</v>
      </c>
    </row>
    <row r="23" spans="1:14" x14ac:dyDescent="0.45">
      <c r="A23">
        <v>6.32</v>
      </c>
      <c r="D23">
        <f t="shared" si="0"/>
        <v>7.9900000000000011</v>
      </c>
      <c r="G23" t="str">
        <f t="shared" si="1"/>
        <v>]6,87;7,99]</v>
      </c>
      <c r="H23">
        <v>9</v>
      </c>
      <c r="I23" s="7">
        <f t="shared" si="2"/>
        <v>7.4999999999999997E-2</v>
      </c>
      <c r="J23">
        <f t="shared" si="3"/>
        <v>120</v>
      </c>
      <c r="K23" s="8">
        <f t="shared" si="4"/>
        <v>0.99999999999999989</v>
      </c>
      <c r="M23" s="10" t="s">
        <v>17</v>
      </c>
      <c r="N23" s="10">
        <v>0.18393637705192487</v>
      </c>
    </row>
    <row r="24" spans="1:14" x14ac:dyDescent="0.45">
      <c r="A24">
        <v>2.2400000000000002</v>
      </c>
      <c r="G24" s="5" t="s">
        <v>10</v>
      </c>
      <c r="H24">
        <f>SUM(H17:H23)</f>
        <v>120</v>
      </c>
      <c r="I24" s="8">
        <f>SUM(I17:I23)</f>
        <v>0.99999999999999989</v>
      </c>
      <c r="M24" s="10" t="s">
        <v>18</v>
      </c>
      <c r="N24" s="10">
        <v>2.71</v>
      </c>
    </row>
    <row r="25" spans="1:14" x14ac:dyDescent="0.45">
      <c r="A25">
        <v>1.73</v>
      </c>
      <c r="M25" s="10" t="s">
        <v>19</v>
      </c>
      <c r="N25" s="10">
        <v>2.71</v>
      </c>
    </row>
    <row r="26" spans="1:14" x14ac:dyDescent="0.45">
      <c r="A26">
        <v>2.71</v>
      </c>
      <c r="D26" t="s">
        <v>91</v>
      </c>
      <c r="M26" s="10" t="s">
        <v>20</v>
      </c>
      <c r="N26" s="10">
        <v>2.0149220571422966</v>
      </c>
    </row>
    <row r="27" spans="1:14" x14ac:dyDescent="0.45">
      <c r="A27">
        <v>7.02</v>
      </c>
      <c r="M27" s="10" t="s">
        <v>21</v>
      </c>
      <c r="N27" s="10">
        <v>4.0599108963585442</v>
      </c>
    </row>
    <row r="28" spans="1:14" x14ac:dyDescent="0.45">
      <c r="A28" s="4">
        <v>5.12</v>
      </c>
      <c r="M28" s="10" t="s">
        <v>22</v>
      </c>
      <c r="N28" s="10">
        <v>-0.48425176547887894</v>
      </c>
    </row>
    <row r="29" spans="1:14" x14ac:dyDescent="0.45">
      <c r="A29">
        <v>2.34</v>
      </c>
      <c r="M29" s="10" t="s">
        <v>23</v>
      </c>
      <c r="N29" s="10">
        <v>0.62682972104146395</v>
      </c>
    </row>
    <row r="30" spans="1:14" x14ac:dyDescent="0.45">
      <c r="A30">
        <v>2.71</v>
      </c>
      <c r="M30" s="10" t="s">
        <v>24</v>
      </c>
      <c r="N30" s="10">
        <v>7.83</v>
      </c>
    </row>
    <row r="31" spans="1:14" x14ac:dyDescent="0.45">
      <c r="A31">
        <v>1.24</v>
      </c>
      <c r="M31" s="10" t="s">
        <v>25</v>
      </c>
      <c r="N31" s="10">
        <v>0.16</v>
      </c>
    </row>
    <row r="32" spans="1:14" x14ac:dyDescent="0.45">
      <c r="A32">
        <v>3.26</v>
      </c>
      <c r="M32" s="10" t="s">
        <v>26</v>
      </c>
      <c r="N32" s="10">
        <v>7.99</v>
      </c>
    </row>
    <row r="33" spans="1:14" x14ac:dyDescent="0.45">
      <c r="A33">
        <v>1.1599999999999999</v>
      </c>
      <c r="M33" s="10" t="s">
        <v>27</v>
      </c>
      <c r="N33" s="10">
        <v>375.98</v>
      </c>
    </row>
    <row r="34" spans="1:14" ht="14.65" thickBot="1" x14ac:dyDescent="0.5">
      <c r="A34">
        <v>2.36</v>
      </c>
      <c r="M34" s="11" t="s">
        <v>28</v>
      </c>
      <c r="N34" s="11">
        <v>120</v>
      </c>
    </row>
    <row r="35" spans="1:14" x14ac:dyDescent="0.45">
      <c r="A35">
        <v>6.02</v>
      </c>
    </row>
    <row r="36" spans="1:14" x14ac:dyDescent="0.45">
      <c r="A36">
        <v>2.16</v>
      </c>
    </row>
    <row r="37" spans="1:14" x14ac:dyDescent="0.45">
      <c r="A37">
        <v>2.09</v>
      </c>
    </row>
    <row r="38" spans="1:14" x14ac:dyDescent="0.45">
      <c r="A38">
        <v>2.11</v>
      </c>
    </row>
    <row r="39" spans="1:14" x14ac:dyDescent="0.45">
      <c r="A39">
        <v>3.86</v>
      </c>
    </row>
    <row r="40" spans="1:14" x14ac:dyDescent="0.45">
      <c r="A40">
        <v>4.5599999999999996</v>
      </c>
    </row>
    <row r="41" spans="1:14" x14ac:dyDescent="0.45">
      <c r="A41">
        <v>6.09</v>
      </c>
    </row>
    <row r="42" spans="1:14" x14ac:dyDescent="0.45">
      <c r="A42">
        <v>1.08</v>
      </c>
    </row>
    <row r="43" spans="1:14" x14ac:dyDescent="0.45">
      <c r="A43">
        <v>2.72</v>
      </c>
    </row>
    <row r="44" spans="1:14" x14ac:dyDescent="0.45">
      <c r="A44">
        <v>2.71</v>
      </c>
    </row>
    <row r="45" spans="1:14" x14ac:dyDescent="0.45">
      <c r="A45">
        <v>4.97</v>
      </c>
    </row>
    <row r="46" spans="1:14" x14ac:dyDescent="0.45">
      <c r="A46">
        <v>3.01</v>
      </c>
    </row>
    <row r="47" spans="1:14" x14ac:dyDescent="0.45">
      <c r="A47">
        <v>4.1900000000000004</v>
      </c>
    </row>
    <row r="48" spans="1:14" x14ac:dyDescent="0.45">
      <c r="A48">
        <v>5.22</v>
      </c>
    </row>
    <row r="49" spans="1:1" x14ac:dyDescent="0.45">
      <c r="A49">
        <v>3.74</v>
      </c>
    </row>
    <row r="50" spans="1:1" x14ac:dyDescent="0.45">
      <c r="A50">
        <v>2.12</v>
      </c>
    </row>
    <row r="51" spans="1:1" x14ac:dyDescent="0.45">
      <c r="A51">
        <v>1.46</v>
      </c>
    </row>
    <row r="52" spans="1:1" x14ac:dyDescent="0.45">
      <c r="A52">
        <v>0.27</v>
      </c>
    </row>
    <row r="53" spans="1:1" x14ac:dyDescent="0.45">
      <c r="A53">
        <v>1.28</v>
      </c>
    </row>
    <row r="54" spans="1:1" x14ac:dyDescent="0.45">
      <c r="A54">
        <v>0.39</v>
      </c>
    </row>
    <row r="55" spans="1:1" x14ac:dyDescent="0.45">
      <c r="A55">
        <v>1.41</v>
      </c>
    </row>
    <row r="56" spans="1:1" x14ac:dyDescent="0.45">
      <c r="A56">
        <v>0.53</v>
      </c>
    </row>
    <row r="57" spans="1:1" x14ac:dyDescent="0.45">
      <c r="A57">
        <v>2.67</v>
      </c>
    </row>
    <row r="58" spans="1:1" x14ac:dyDescent="0.45">
      <c r="A58">
        <v>3.01</v>
      </c>
    </row>
    <row r="59" spans="1:1" x14ac:dyDescent="0.45">
      <c r="A59">
        <v>3.57</v>
      </c>
    </row>
    <row r="60" spans="1:1" x14ac:dyDescent="0.45">
      <c r="A60">
        <v>7.01</v>
      </c>
    </row>
    <row r="61" spans="1:1" x14ac:dyDescent="0.45">
      <c r="A61">
        <v>0.68</v>
      </c>
    </row>
    <row r="62" spans="1:1" x14ac:dyDescent="0.45">
      <c r="A62">
        <v>1.29</v>
      </c>
    </row>
    <row r="63" spans="1:1" x14ac:dyDescent="0.45">
      <c r="A63">
        <v>3.71</v>
      </c>
    </row>
    <row r="64" spans="1:1" x14ac:dyDescent="0.45">
      <c r="A64">
        <v>2.87</v>
      </c>
    </row>
    <row r="65" spans="1:1" x14ac:dyDescent="0.45">
      <c r="A65">
        <v>1.23</v>
      </c>
    </row>
    <row r="66" spans="1:1" x14ac:dyDescent="0.45">
      <c r="A66">
        <v>0.79</v>
      </c>
    </row>
    <row r="67" spans="1:1" x14ac:dyDescent="0.45">
      <c r="A67">
        <v>4.57</v>
      </c>
    </row>
    <row r="68" spans="1:1" x14ac:dyDescent="0.45">
      <c r="A68">
        <v>2.98</v>
      </c>
    </row>
    <row r="69" spans="1:1" x14ac:dyDescent="0.45">
      <c r="A69">
        <v>1.73</v>
      </c>
    </row>
    <row r="70" spans="1:1" x14ac:dyDescent="0.45">
      <c r="A70">
        <v>2.91</v>
      </c>
    </row>
    <row r="71" spans="1:1" x14ac:dyDescent="0.45">
      <c r="A71">
        <v>0.27</v>
      </c>
    </row>
    <row r="72" spans="1:1" x14ac:dyDescent="0.45">
      <c r="A72">
        <v>6.83</v>
      </c>
    </row>
    <row r="73" spans="1:1" x14ac:dyDescent="0.45">
      <c r="A73">
        <v>3.91</v>
      </c>
    </row>
    <row r="74" spans="1:1" x14ac:dyDescent="0.45">
      <c r="A74">
        <v>2.02</v>
      </c>
    </row>
    <row r="75" spans="1:1" x14ac:dyDescent="0.45">
      <c r="A75">
        <v>1.72</v>
      </c>
    </row>
    <row r="76" spans="1:1" x14ac:dyDescent="0.45">
      <c r="A76">
        <v>4.01</v>
      </c>
    </row>
    <row r="77" spans="1:1" x14ac:dyDescent="0.45">
      <c r="A77">
        <v>5.84</v>
      </c>
    </row>
    <row r="78" spans="1:1" x14ac:dyDescent="0.45">
      <c r="A78">
        <v>5.28</v>
      </c>
    </row>
    <row r="79" spans="1:1" x14ac:dyDescent="0.45">
      <c r="A79">
        <v>6.81</v>
      </c>
    </row>
    <row r="80" spans="1:1" x14ac:dyDescent="0.45">
      <c r="A80">
        <v>7.02</v>
      </c>
    </row>
    <row r="81" spans="1:1" x14ac:dyDescent="0.45">
      <c r="A81">
        <v>0.34</v>
      </c>
    </row>
    <row r="82" spans="1:1" x14ac:dyDescent="0.45">
      <c r="A82">
        <v>6.88</v>
      </c>
    </row>
    <row r="83" spans="1:1" x14ac:dyDescent="0.45">
      <c r="A83">
        <v>2.4300000000000002</v>
      </c>
    </row>
    <row r="84" spans="1:1" x14ac:dyDescent="0.45">
      <c r="A84">
        <v>1.93</v>
      </c>
    </row>
    <row r="85" spans="1:1" x14ac:dyDescent="0.45">
      <c r="A85">
        <v>0.32</v>
      </c>
    </row>
    <row r="86" spans="1:1" x14ac:dyDescent="0.45">
      <c r="A86">
        <v>0.78</v>
      </c>
    </row>
    <row r="87" spans="1:1" x14ac:dyDescent="0.45">
      <c r="A87">
        <v>1.28</v>
      </c>
    </row>
    <row r="88" spans="1:1" x14ac:dyDescent="0.45">
      <c r="A88">
        <v>7.99</v>
      </c>
    </row>
    <row r="89" spans="1:1" x14ac:dyDescent="0.45">
      <c r="A89">
        <v>4.71</v>
      </c>
    </row>
    <row r="90" spans="1:1" x14ac:dyDescent="0.45">
      <c r="A90">
        <v>5.44</v>
      </c>
    </row>
    <row r="91" spans="1:1" x14ac:dyDescent="0.45">
      <c r="A91">
        <v>2.17</v>
      </c>
    </row>
    <row r="92" spans="1:1" x14ac:dyDescent="0.45">
      <c r="A92">
        <v>0.62</v>
      </c>
    </row>
    <row r="93" spans="1:1" x14ac:dyDescent="0.45">
      <c r="A93">
        <v>1.1100000000000001</v>
      </c>
    </row>
    <row r="94" spans="1:1" x14ac:dyDescent="0.45">
      <c r="A94">
        <v>5.82</v>
      </c>
    </row>
    <row r="95" spans="1:1" x14ac:dyDescent="0.45">
      <c r="A95">
        <v>2.71</v>
      </c>
    </row>
    <row r="96" spans="1:1" x14ac:dyDescent="0.45">
      <c r="A96">
        <v>4.79</v>
      </c>
    </row>
    <row r="97" spans="1:1" x14ac:dyDescent="0.45">
      <c r="A97">
        <v>3.66</v>
      </c>
    </row>
    <row r="98" spans="1:1" x14ac:dyDescent="0.45">
      <c r="A98">
        <v>3.09</v>
      </c>
    </row>
    <row r="99" spans="1:1" x14ac:dyDescent="0.45">
      <c r="A99">
        <v>2.5099999999999998</v>
      </c>
    </row>
    <row r="100" spans="1:1" x14ac:dyDescent="0.45">
      <c r="A100">
        <v>1.72</v>
      </c>
    </row>
    <row r="101" spans="1:1" x14ac:dyDescent="0.45">
      <c r="A101">
        <v>3.81</v>
      </c>
    </row>
    <row r="102" spans="1:1" x14ac:dyDescent="0.45">
      <c r="A102">
        <v>2.73</v>
      </c>
    </row>
    <row r="103" spans="1:1" x14ac:dyDescent="0.45">
      <c r="A103">
        <v>7.09</v>
      </c>
    </row>
    <row r="104" spans="1:1" x14ac:dyDescent="0.45">
      <c r="A104">
        <v>6.44</v>
      </c>
    </row>
    <row r="105" spans="1:1" x14ac:dyDescent="0.45">
      <c r="A105">
        <v>2.2200000000000002</v>
      </c>
    </row>
    <row r="106" spans="1:1" x14ac:dyDescent="0.45">
      <c r="A106">
        <v>3.17</v>
      </c>
    </row>
    <row r="107" spans="1:1" x14ac:dyDescent="0.45">
      <c r="A107">
        <v>0.78</v>
      </c>
    </row>
    <row r="108" spans="1:1" x14ac:dyDescent="0.45">
      <c r="A108">
        <v>2.71</v>
      </c>
    </row>
    <row r="109" spans="1:1" x14ac:dyDescent="0.45">
      <c r="A109">
        <v>7.09</v>
      </c>
    </row>
    <row r="110" spans="1:1" x14ac:dyDescent="0.45">
      <c r="A110">
        <v>7.81</v>
      </c>
    </row>
    <row r="111" spans="1:1" x14ac:dyDescent="0.45">
      <c r="A111">
        <v>3.88</v>
      </c>
    </row>
    <row r="112" spans="1:1" x14ac:dyDescent="0.45">
      <c r="A112">
        <v>3.91</v>
      </c>
    </row>
    <row r="113" spans="1:1" x14ac:dyDescent="0.45">
      <c r="A113">
        <v>6.81</v>
      </c>
    </row>
    <row r="114" spans="1:1" x14ac:dyDescent="0.45">
      <c r="A114">
        <v>0.99</v>
      </c>
    </row>
    <row r="115" spans="1:1" x14ac:dyDescent="0.45">
      <c r="A115">
        <v>2.16</v>
      </c>
    </row>
    <row r="116" spans="1:1" x14ac:dyDescent="0.45">
      <c r="A116">
        <v>1.74</v>
      </c>
    </row>
    <row r="117" spans="1:1" x14ac:dyDescent="0.45">
      <c r="A117">
        <v>2.83</v>
      </c>
    </row>
    <row r="118" spans="1:1" x14ac:dyDescent="0.45">
      <c r="A118">
        <v>3.93</v>
      </c>
    </row>
    <row r="119" spans="1:1" x14ac:dyDescent="0.45">
      <c r="A119">
        <v>0.59</v>
      </c>
    </row>
    <row r="120" spans="1:1" x14ac:dyDescent="0.45">
      <c r="A120">
        <v>3.48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N.º de cafés</vt:lpstr>
      <vt:lpstr>Dureza material</vt:lpstr>
      <vt:lpstr>N.º irmãos</vt:lpstr>
      <vt:lpstr>Parafusos</vt:lpstr>
      <vt:lpstr>Pendisk</vt:lpstr>
      <vt:lpstr>Parafusos 2</vt:lpstr>
      <vt:lpstr>Fruta</vt:lpstr>
      <vt:lpstr>alturas jogadores</vt:lpstr>
      <vt:lpstr>multibanco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Claúdia  Sebastião</dc:creator>
  <cp:lastModifiedBy>Inês Santos</cp:lastModifiedBy>
  <dcterms:created xsi:type="dcterms:W3CDTF">2024-12-02T23:30:00Z</dcterms:created>
  <dcterms:modified xsi:type="dcterms:W3CDTF">2026-01-08T19:27:33Z</dcterms:modified>
</cp:coreProperties>
</file>