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MaterialdeApoio\FichasDeExercicios\"/>
    </mc:Choice>
  </mc:AlternateContent>
  <xr:revisionPtr revIDLastSave="0" documentId="13_ncr:1_{C20E94C4-B6F0-4FF9-9ABB-FB2DD4CC5168}" xr6:coauthVersionLast="47" xr6:coauthVersionMax="47" xr10:uidLastSave="{00000000-0000-0000-0000-000000000000}"/>
  <bookViews>
    <workbookView xWindow="-98" yWindow="-98" windowWidth="24196" windowHeight="14476" firstSheet="1" activeTab="11" xr2:uid="{95B6758A-DB15-4F80-A12A-0BA151E9A35B}"/>
  </bookViews>
  <sheets>
    <sheet name="Folha1" sheetId="1" r:id="rId1"/>
    <sheet name="Folha2" sheetId="5" r:id="rId2"/>
    <sheet name="Folha3" sheetId="7" r:id="rId3"/>
    <sheet name="Folha4" sheetId="12" r:id="rId4"/>
    <sheet name="Folha5" sheetId="4" r:id="rId5"/>
    <sheet name="Folha6" sheetId="8" r:id="rId6"/>
    <sheet name="Folha7" sheetId="10" r:id="rId7"/>
    <sheet name="Folha8" sheetId="9" r:id="rId8"/>
    <sheet name="Folha9" sheetId="11" r:id="rId9"/>
    <sheet name="Folha10" sheetId="13" r:id="rId10"/>
    <sheet name="Folha11" sheetId="14" r:id="rId11"/>
    <sheet name="Folha12" sheetId="15" r:id="rId12"/>
  </sheets>
  <definedNames>
    <definedName name="_xlnm._FilterDatabase" localSheetId="0" hidden="1">Folha1!$A$14:$A$37</definedName>
    <definedName name="_xlnm._FilterDatabase" localSheetId="9" hidden="1">Folha10!$A$13:$A$52</definedName>
    <definedName name="_xlnm._FilterDatabase" localSheetId="1" hidden="1">Folha2!$C$16:$C$115</definedName>
    <definedName name="_xlnm._FilterDatabase" localSheetId="2" hidden="1">Folha3!$A$15:$A$94</definedName>
    <definedName name="_xlnm._FilterDatabase" localSheetId="3" hidden="1">Folha4!$A$13:$A$133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7" l="1"/>
  <c r="I61" i="14"/>
  <c r="H61" i="14"/>
  <c r="L30" i="14"/>
  <c r="L31" i="14" s="1"/>
  <c r="L32" i="14" s="1"/>
  <c r="L33" i="14" s="1"/>
  <c r="L34" i="14" s="1"/>
  <c r="L35" i="14" s="1"/>
  <c r="L29" i="14"/>
  <c r="L28" i="14"/>
  <c r="K30" i="14"/>
  <c r="K31" i="14" s="1"/>
  <c r="K32" i="14" s="1"/>
  <c r="K33" i="14" s="1"/>
  <c r="K34" i="14" s="1"/>
  <c r="K35" i="14" s="1"/>
  <c r="K29" i="14"/>
  <c r="K28" i="14"/>
  <c r="J36" i="14"/>
  <c r="J29" i="14"/>
  <c r="J30" i="14"/>
  <c r="J31" i="14"/>
  <c r="J32" i="14"/>
  <c r="J33" i="14"/>
  <c r="J34" i="14"/>
  <c r="J35" i="14"/>
  <c r="J28" i="14"/>
  <c r="I36" i="14"/>
  <c r="I28" i="14" a="1"/>
  <c r="I28" i="14" s="1"/>
  <c r="I34" i="14"/>
  <c r="I35" i="14"/>
  <c r="H29" i="14"/>
  <c r="H30" i="14"/>
  <c r="H31" i="14"/>
  <c r="H32" i="14"/>
  <c r="H33" i="14"/>
  <c r="H34" i="14"/>
  <c r="H35" i="14"/>
  <c r="H28" i="14"/>
  <c r="E29" i="14"/>
  <c r="E30" i="14" s="1"/>
  <c r="E31" i="14" s="1"/>
  <c r="E32" i="14" s="1"/>
  <c r="E33" i="14" s="1"/>
  <c r="E34" i="14" s="1"/>
  <c r="E35" i="14" s="1"/>
  <c r="E28" i="14"/>
  <c r="G23" i="14"/>
  <c r="G22" i="14"/>
  <c r="F21" i="14"/>
  <c r="F20" i="14"/>
  <c r="F19" i="14"/>
  <c r="F18" i="14"/>
  <c r="J39" i="13"/>
  <c r="I39" i="13"/>
  <c r="L56" i="11"/>
  <c r="I33" i="14" l="1"/>
  <c r="I32" i="14"/>
  <c r="I31" i="14"/>
  <c r="I30" i="14"/>
  <c r="I29" i="14"/>
  <c r="G66" i="15" l="1"/>
  <c r="G63" i="15"/>
  <c r="G65" i="15"/>
  <c r="D30" i="15"/>
  <c r="F30" i="15" s="1"/>
  <c r="J28" i="13"/>
  <c r="J26" i="13"/>
  <c r="J27" i="13"/>
  <c r="J29" i="13"/>
  <c r="J25" i="13"/>
  <c r="J24" i="13"/>
  <c r="I26" i="13"/>
  <c r="I27" i="13"/>
  <c r="I28" i="13"/>
  <c r="I29" i="13" s="1"/>
  <c r="I25" i="13"/>
  <c r="I24" i="13"/>
  <c r="H30" i="13"/>
  <c r="H25" i="13"/>
  <c r="H26" i="13"/>
  <c r="H27" i="13"/>
  <c r="H28" i="13"/>
  <c r="H29" i="13"/>
  <c r="H24" i="13"/>
  <c r="G30" i="13"/>
  <c r="G25" i="13"/>
  <c r="G26" i="13"/>
  <c r="G27" i="13"/>
  <c r="G28" i="13"/>
  <c r="G29" i="13"/>
  <c r="G24" i="13"/>
  <c r="F24" i="15"/>
  <c r="E22" i="15"/>
  <c r="E21" i="15"/>
  <c r="G26" i="15" s="1"/>
  <c r="F19" i="15"/>
  <c r="I22" i="9"/>
  <c r="I23" i="9"/>
  <c r="I21" i="9"/>
  <c r="I20" i="9"/>
  <c r="H22" i="9"/>
  <c r="H23" i="9"/>
  <c r="H21" i="9"/>
  <c r="H20" i="9"/>
  <c r="G24" i="9"/>
  <c r="G21" i="9"/>
  <c r="G22" i="9"/>
  <c r="G23" i="9"/>
  <c r="G20" i="9"/>
  <c r="F21" i="9"/>
  <c r="F22" i="9"/>
  <c r="F23" i="9"/>
  <c r="F20" i="9"/>
  <c r="L15" i="9"/>
  <c r="D31" i="15" l="1"/>
  <c r="F24" i="9"/>
  <c r="D32" i="15" l="1"/>
  <c r="F31" i="15"/>
  <c r="D33" i="15" l="1"/>
  <c r="F33" i="15"/>
  <c r="F32" i="15"/>
  <c r="G16" i="13"/>
  <c r="F19" i="13"/>
  <c r="G21" i="13" s="1"/>
  <c r="F18" i="13"/>
  <c r="F14" i="13"/>
  <c r="K30" i="11"/>
  <c r="K31" i="11"/>
  <c r="K32" i="11" s="1"/>
  <c r="K33" i="11" s="1"/>
  <c r="K34" i="11" s="1"/>
  <c r="K29" i="11"/>
  <c r="K28" i="11"/>
  <c r="J30" i="11"/>
  <c r="J31" i="11" s="1"/>
  <c r="J32" i="11" s="1"/>
  <c r="J33" i="11" s="1"/>
  <c r="J34" i="11" s="1"/>
  <c r="J29" i="11"/>
  <c r="J28" i="11"/>
  <c r="I35" i="11"/>
  <c r="H35" i="11"/>
  <c r="I29" i="11"/>
  <c r="I30" i="11"/>
  <c r="I31" i="11"/>
  <c r="I32" i="11"/>
  <c r="I33" i="11"/>
  <c r="I34" i="11"/>
  <c r="I28" i="11"/>
  <c r="H28" i="11" a="1"/>
  <c r="H28" i="11" s="1"/>
  <c r="H30" i="11"/>
  <c r="H31" i="11"/>
  <c r="H32" i="11"/>
  <c r="H33" i="11"/>
  <c r="H34" i="11"/>
  <c r="G29" i="11"/>
  <c r="G30" i="11"/>
  <c r="G31" i="11"/>
  <c r="G32" i="11"/>
  <c r="G33" i="11"/>
  <c r="G34" i="11"/>
  <c r="G28" i="11"/>
  <c r="D29" i="11"/>
  <c r="D30" i="11" s="1"/>
  <c r="D31" i="11" s="1"/>
  <c r="D32" i="11" s="1"/>
  <c r="D33" i="11" s="1"/>
  <c r="D34" i="11" s="1"/>
  <c r="D28" i="11"/>
  <c r="F24" i="11"/>
  <c r="E22" i="11"/>
  <c r="E21" i="11"/>
  <c r="F19" i="11"/>
  <c r="F17" i="11"/>
  <c r="J57" i="10"/>
  <c r="L59" i="10"/>
  <c r="L58" i="10"/>
  <c r="E30" i="10"/>
  <c r="C31" i="10"/>
  <c r="C32" i="10" s="1"/>
  <c r="C33" i="10" s="1"/>
  <c r="C34" i="10" s="1"/>
  <c r="C35" i="10" s="1"/>
  <c r="C30" i="10"/>
  <c r="E31" i="10" s="1"/>
  <c r="D24" i="10"/>
  <c r="D23" i="10"/>
  <c r="E26" i="10" s="1"/>
  <c r="E21" i="10"/>
  <c r="E19" i="10"/>
  <c r="H69" i="8"/>
  <c r="H70" i="8"/>
  <c r="J64" i="8"/>
  <c r="D32" i="8"/>
  <c r="F21" i="8"/>
  <c r="L59" i="7"/>
  <c r="D34" i="15" l="1"/>
  <c r="F34" i="15"/>
  <c r="H29" i="11"/>
  <c r="C36" i="10"/>
  <c r="F30" i="10" s="1" a="1"/>
  <c r="F30" i="10" s="1"/>
  <c r="E34" i="10"/>
  <c r="E33" i="10"/>
  <c r="E35" i="10"/>
  <c r="E32" i="10"/>
  <c r="D33" i="8"/>
  <c r="F32" i="8"/>
  <c r="D35" i="15" l="1"/>
  <c r="F35" i="15" s="1"/>
  <c r="F31" i="10"/>
  <c r="G31" i="10" s="1"/>
  <c r="F34" i="10"/>
  <c r="G34" i="10" s="1"/>
  <c r="F36" i="10"/>
  <c r="G36" i="10" s="1"/>
  <c r="F32" i="10"/>
  <c r="G32" i="10" s="1"/>
  <c r="F33" i="10"/>
  <c r="G33" i="10" s="1"/>
  <c r="F35" i="10"/>
  <c r="G35" i="10" s="1"/>
  <c r="H30" i="10"/>
  <c r="H31" i="10" s="1"/>
  <c r="H32" i="10" s="1"/>
  <c r="G30" i="10"/>
  <c r="I30" i="10" s="1"/>
  <c r="I31" i="10" s="1"/>
  <c r="I32" i="10" s="1"/>
  <c r="I33" i="10" s="1"/>
  <c r="I34" i="10" s="1"/>
  <c r="I35" i="10" s="1"/>
  <c r="I36" i="10" s="1"/>
  <c r="E36" i="10"/>
  <c r="D34" i="8"/>
  <c r="F34" i="8"/>
  <c r="F33" i="8"/>
  <c r="D36" i="15" l="1"/>
  <c r="F36" i="15" s="1"/>
  <c r="G30" i="15" a="1"/>
  <c r="H33" i="10"/>
  <c r="H34" i="10" s="1"/>
  <c r="H35" i="10" s="1"/>
  <c r="H36" i="10" s="1"/>
  <c r="D35" i="8"/>
  <c r="F35" i="8"/>
  <c r="G31" i="15" l="1"/>
  <c r="H31" i="15" s="1"/>
  <c r="G35" i="15"/>
  <c r="H35" i="15" s="1"/>
  <c r="G34" i="15"/>
  <c r="H34" i="15" s="1"/>
  <c r="G36" i="15"/>
  <c r="H36" i="15" s="1"/>
  <c r="G33" i="15"/>
  <c r="H33" i="15" s="1"/>
  <c r="G32" i="15"/>
  <c r="H32" i="15" s="1"/>
  <c r="G30" i="15"/>
  <c r="D36" i="8"/>
  <c r="F36" i="8"/>
  <c r="I30" i="15" l="1"/>
  <c r="I31" i="15" s="1"/>
  <c r="I32" i="15" s="1"/>
  <c r="I33" i="15" s="1"/>
  <c r="I34" i="15" s="1"/>
  <c r="I35" i="15" s="1"/>
  <c r="I36" i="15" s="1"/>
  <c r="G37" i="15"/>
  <c r="H30" i="15"/>
  <c r="D37" i="8"/>
  <c r="F37" i="8"/>
  <c r="I80" i="5"/>
  <c r="I79" i="5"/>
  <c r="I78" i="5"/>
  <c r="I75" i="5"/>
  <c r="I74" i="5"/>
  <c r="I73" i="5"/>
  <c r="K20" i="12"/>
  <c r="K21" i="12" s="1"/>
  <c r="K22" i="12" s="1"/>
  <c r="K23" i="12" s="1"/>
  <c r="K24" i="12" s="1"/>
  <c r="K19" i="12"/>
  <c r="K18" i="12"/>
  <c r="J20" i="12"/>
  <c r="J21" i="12" s="1"/>
  <c r="J22" i="12" s="1"/>
  <c r="J23" i="12" s="1"/>
  <c r="J24" i="12" s="1"/>
  <c r="J19" i="12"/>
  <c r="J18" i="12"/>
  <c r="I25" i="12"/>
  <c r="I19" i="12"/>
  <c r="I20" i="12"/>
  <c r="I21" i="12"/>
  <c r="I22" i="12"/>
  <c r="I23" i="12"/>
  <c r="I24" i="12"/>
  <c r="I18" i="12"/>
  <c r="H25" i="12"/>
  <c r="H19" i="12"/>
  <c r="H20" i="12"/>
  <c r="H21" i="12"/>
  <c r="H22" i="12"/>
  <c r="H23" i="12"/>
  <c r="H24" i="12"/>
  <c r="H18" i="12"/>
  <c r="G31" i="4"/>
  <c r="E25" i="8"/>
  <c r="D28" i="8" s="1"/>
  <c r="E24" i="8"/>
  <c r="G17" i="7"/>
  <c r="I17" i="7" s="1"/>
  <c r="F19" i="8"/>
  <c r="I27" i="4"/>
  <c r="I28" i="4" s="1"/>
  <c r="I29" i="4" s="1"/>
  <c r="I30" i="4" s="1"/>
  <c r="I26" i="4"/>
  <c r="I25" i="4"/>
  <c r="H27" i="4"/>
  <c r="H28" i="4"/>
  <c r="H29" i="4" s="1"/>
  <c r="H30" i="4" s="1"/>
  <c r="H26" i="4"/>
  <c r="H25" i="4"/>
  <c r="G26" i="4"/>
  <c r="G27" i="4"/>
  <c r="G28" i="4"/>
  <c r="G29" i="4"/>
  <c r="G30" i="4"/>
  <c r="G25" i="4"/>
  <c r="F31" i="4"/>
  <c r="F25" i="4" a="1"/>
  <c r="F26" i="4" s="1"/>
  <c r="E26" i="4"/>
  <c r="E27" i="4"/>
  <c r="E28" i="4"/>
  <c r="E29" i="4"/>
  <c r="E30" i="4"/>
  <c r="E25" i="4"/>
  <c r="C26" i="4"/>
  <c r="C27" i="4"/>
  <c r="C28" i="4" s="1"/>
  <c r="C29" i="4" s="1"/>
  <c r="C30" i="4" s="1"/>
  <c r="C25" i="4"/>
  <c r="C21" i="4"/>
  <c r="D18" i="4"/>
  <c r="D17" i="4"/>
  <c r="E15" i="4"/>
  <c r="E13" i="4"/>
  <c r="G18" i="7"/>
  <c r="G19" i="7"/>
  <c r="H19" i="7" s="1"/>
  <c r="G20" i="7"/>
  <c r="G21" i="7"/>
  <c r="H21" i="7" s="1"/>
  <c r="M24" i="5"/>
  <c r="M25" i="5" s="1"/>
  <c r="M26" i="5" s="1"/>
  <c r="M27" i="5" s="1"/>
  <c r="M28" i="5" s="1"/>
  <c r="M23" i="5"/>
  <c r="M22" i="5"/>
  <c r="K23" i="5"/>
  <c r="K24" i="5"/>
  <c r="K25" i="5"/>
  <c r="K26" i="5"/>
  <c r="K27" i="5"/>
  <c r="K28" i="5"/>
  <c r="K22" i="5"/>
  <c r="L24" i="5"/>
  <c r="L25" i="5" s="1"/>
  <c r="L26" i="5" s="1"/>
  <c r="L27" i="5" s="1"/>
  <c r="L28" i="5" s="1"/>
  <c r="L23" i="5"/>
  <c r="L22" i="5"/>
  <c r="J29" i="5"/>
  <c r="J23" i="5"/>
  <c r="J24" i="5"/>
  <c r="J25" i="5"/>
  <c r="J26" i="5"/>
  <c r="J27" i="5"/>
  <c r="J28" i="5"/>
  <c r="J22" i="5"/>
  <c r="F18" i="5"/>
  <c r="J20" i="1"/>
  <c r="J21" i="1"/>
  <c r="J22" i="1"/>
  <c r="J23" i="1"/>
  <c r="I24" i="1"/>
  <c r="I21" i="1"/>
  <c r="I22" i="1"/>
  <c r="I23" i="1"/>
  <c r="G17" i="1"/>
  <c r="I20" i="1"/>
  <c r="H37" i="15" l="1"/>
  <c r="J30" i="15"/>
  <c r="J31" i="15" s="1"/>
  <c r="J32" i="15" s="1"/>
  <c r="J33" i="15" s="1"/>
  <c r="J34" i="15" s="1"/>
  <c r="J35" i="15" s="1"/>
  <c r="J36" i="15" s="1"/>
  <c r="D38" i="8"/>
  <c r="F38" i="8"/>
  <c r="G32" i="8" a="1"/>
  <c r="I18" i="7"/>
  <c r="I19" i="7" s="1"/>
  <c r="I20" i="7" s="1"/>
  <c r="I21" i="7" s="1"/>
  <c r="F29" i="4"/>
  <c r="F28" i="4"/>
  <c r="F25" i="4"/>
  <c r="F30" i="4"/>
  <c r="F27" i="4"/>
  <c r="G22" i="7"/>
  <c r="H17" i="7"/>
  <c r="J17" i="7" s="1"/>
  <c r="H20" i="7"/>
  <c r="H18" i="7"/>
  <c r="G32" i="8" l="1"/>
  <c r="G36" i="8"/>
  <c r="H36" i="8" s="1"/>
  <c r="G35" i="8"/>
  <c r="H35" i="8" s="1"/>
  <c r="G38" i="8"/>
  <c r="H38" i="8" s="1"/>
  <c r="G34" i="8"/>
  <c r="H34" i="8" s="1"/>
  <c r="G37" i="8"/>
  <c r="H37" i="8" s="1"/>
  <c r="G33" i="8"/>
  <c r="H33" i="8" s="1"/>
  <c r="J18" i="7"/>
  <c r="J19" i="7" s="1"/>
  <c r="J20" i="7" s="1"/>
  <c r="J21" i="7" s="1"/>
  <c r="H32" i="8" l="1"/>
  <c r="G40" i="8"/>
  <c r="I32" i="8"/>
  <c r="I33" i="8" s="1"/>
  <c r="I34" i="8" s="1"/>
  <c r="I35" i="8" s="1"/>
  <c r="I36" i="8" s="1"/>
  <c r="I37" i="8" s="1"/>
  <c r="I38" i="8" s="1"/>
  <c r="H40" i="8" l="1"/>
  <c r="J32" i="8"/>
  <c r="J33" i="8" s="1"/>
  <c r="J34" i="8" s="1"/>
  <c r="J35" i="8" s="1"/>
  <c r="J36" i="8" s="1"/>
  <c r="J37" i="8" s="1"/>
  <c r="J38" i="8" s="1"/>
</calcChain>
</file>

<file path=xl/sharedStrings.xml><?xml version="1.0" encoding="utf-8"?>
<sst xmlns="http://schemas.openxmlformats.org/spreadsheetml/2006/main" count="433" uniqueCount="187">
  <si>
    <t>AMOSTRA</t>
  </si>
  <si>
    <t>S</t>
  </si>
  <si>
    <t>J</t>
  </si>
  <si>
    <t>R</t>
  </si>
  <si>
    <t>T</t>
  </si>
  <si>
    <t>Amostra</t>
  </si>
  <si>
    <t>1.1 Variável em estudo: marca de queijo favorita dos clientes</t>
  </si>
  <si>
    <t>Variável qualitativa</t>
  </si>
  <si>
    <t>dimensão da amostra</t>
  </si>
  <si>
    <t>1.2 TABELA DE FREQUÊNCIAS</t>
  </si>
  <si>
    <t>xi</t>
  </si>
  <si>
    <t>ni</t>
  </si>
  <si>
    <t>fi</t>
  </si>
  <si>
    <t>1.3) 6</t>
  </si>
  <si>
    <t>1.4) 12.5%</t>
  </si>
  <si>
    <t>1.5)</t>
  </si>
  <si>
    <t>Gráfico de barras</t>
  </si>
  <si>
    <t>2.2)</t>
  </si>
  <si>
    <t>dimensão da amostra=</t>
  </si>
  <si>
    <t>Variável quantitativa discreta</t>
  </si>
  <si>
    <t>TABELA DE FREQUÊNCIAS</t>
  </si>
  <si>
    <t>Total</t>
  </si>
  <si>
    <t>NI</t>
  </si>
  <si>
    <t>FI</t>
  </si>
  <si>
    <t>2.3) Gráfico de barras</t>
  </si>
  <si>
    <t>2.4) 24</t>
  </si>
  <si>
    <t>2.5) 59</t>
  </si>
  <si>
    <t>2.6) 15% (11% + 4%)</t>
  </si>
  <si>
    <t>5 ou 6 cafés</t>
  </si>
  <si>
    <t>2.7)</t>
  </si>
  <si>
    <t>3.1) Variável em estudo: número de livros lidos nas últimas férias de verão dos alunos da ESTGA</t>
  </si>
  <si>
    <t>3.2) TABELA DE FREQUÊNCIAS</t>
  </si>
  <si>
    <t>3.3)</t>
  </si>
  <si>
    <t>5.1) Variável em estudo: comprimento dos parafusos</t>
  </si>
  <si>
    <t>Variável quantitativa contínua</t>
  </si>
  <si>
    <t>k</t>
  </si>
  <si>
    <t>Número de Classes: regra de Sturges</t>
  </si>
  <si>
    <t>Mínimo</t>
  </si>
  <si>
    <t>Máximo</t>
  </si>
  <si>
    <t>Amplitude de cada classe (de cada intervalo)</t>
  </si>
  <si>
    <t>Limites das classes</t>
  </si>
  <si>
    <t>Classes</t>
  </si>
  <si>
    <t>Ni</t>
  </si>
  <si>
    <t>Fi</t>
  </si>
  <si>
    <t>5.3)</t>
  </si>
  <si>
    <t>5.2) TABELA DE FREQUÊNCIAS</t>
  </si>
  <si>
    <t>Variável quantitativa discreta.</t>
  </si>
  <si>
    <t>2.1) Variável em estudo: número de cafés bebidos num dia pelos alunos da ESTGA.</t>
  </si>
  <si>
    <t>4.1) Variável: número de peças de frutas consumidas diariamente</t>
  </si>
  <si>
    <t>4.2) TABELA DE FREQUÊNCIAS</t>
  </si>
  <si>
    <t>6.1) Variável: tempo que alunos da ESTGA demoram no percurso casa-escola</t>
  </si>
  <si>
    <t>Dimensão da amostra=</t>
  </si>
  <si>
    <t xml:space="preserve">Número de classes: k= </t>
  </si>
  <si>
    <t>(regra de Sturges)</t>
  </si>
  <si>
    <t>Mínimo:</t>
  </si>
  <si>
    <t>Máximo:</t>
  </si>
  <si>
    <t>Amplitude de cada classe (de cada intervalo):</t>
  </si>
  <si>
    <t>Limites das Classes:</t>
  </si>
  <si>
    <t>6.2)TABELA DE FREQUÊNCIAS:</t>
  </si>
  <si>
    <t>4.3)</t>
  </si>
  <si>
    <t>4.4)</t>
  </si>
  <si>
    <t>6.4)</t>
  </si>
  <si>
    <t>O nº médio de cafés consumidos diariamente pelos alunos da ESTGA é 2,37.</t>
  </si>
  <si>
    <t>mediana</t>
  </si>
  <si>
    <t>2.7.1)  Medidas de localização</t>
  </si>
  <si>
    <t>O nº de cafés mais frequente é 1.</t>
  </si>
  <si>
    <t>moda</t>
  </si>
  <si>
    <t>média</t>
  </si>
  <si>
    <t>Do grupo dos 50% dos alunos que bebem menos cafés por dia, estes bebem no máximo 2 cafés por dia.</t>
  </si>
  <si>
    <t>Medidas de dispersão</t>
  </si>
  <si>
    <t xml:space="preserve">amplitude </t>
  </si>
  <si>
    <t>variância</t>
  </si>
  <si>
    <t>desvio padrão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</si>
  <si>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</si>
  <si>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</si>
  <si>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</si>
  <si>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</si>
  <si>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</si>
  <si>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</si>
  <si>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</si>
  <si>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</si>
  <si>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</si>
  <si>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</si>
  <si>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Soma</t>
  </si>
  <si>
    <t>Contagem</t>
  </si>
  <si>
    <t>4.4.1) O número médio de peças de fruta consumido diariamente é 2,93.</t>
  </si>
  <si>
    <t xml:space="preserve">4.4.3)  O número máximo de peças de fruta consumido diariamente pelo grupo dos 50% que menos peças de fruta consome é 3 (ver na mediana).  </t>
  </si>
  <si>
    <t xml:space="preserve">4.4.2) O valor do desvio padrão, com aproximação às centésimas é 2,01. </t>
  </si>
  <si>
    <t>3.4)</t>
  </si>
  <si>
    <t xml:space="preserve">3.5) </t>
  </si>
  <si>
    <t>Amplitude:</t>
  </si>
  <si>
    <t>Variância:</t>
  </si>
  <si>
    <t>Desvio Padrão:</t>
  </si>
  <si>
    <t>3.7) Quantos alunos leem pelo menos 3  livros nas férias de verão?</t>
  </si>
  <si>
    <t xml:space="preserve">3.6) Calcule a percentagem de alunos que leem no máximo 1 livro nas férias de verão: 63,8% </t>
  </si>
  <si>
    <t>(ao fazer o ni: selecionar as células, usar a função fequência, fazer Ctrl+Shift+Enter)</t>
  </si>
  <si>
    <t xml:space="preserve">6.5) </t>
  </si>
  <si>
    <t>variância:</t>
  </si>
  <si>
    <t>desvio padrão:</t>
  </si>
  <si>
    <t>6.3) Histograma:</t>
  </si>
  <si>
    <t xml:space="preserve">6.6) Calcule a percentagem de alunos que demora mais do que 20 minutos no percurso casa-escola: </t>
  </si>
  <si>
    <t>média: 19.53</t>
  </si>
  <si>
    <t>mediana: 17.5</t>
  </si>
  <si>
    <t>Os alunos demoram em média 19,53 minutos no percurso casa-escola.</t>
  </si>
  <si>
    <t>Do grupo dos 50% que demoram menos tempo no percurso casa-escola, no máximo demoram 17,5 minutos.</t>
  </si>
  <si>
    <t xml:space="preserve">amplitude: </t>
  </si>
  <si>
    <t>Aproximadamente 40% dos alunos demora mais do que 20 minutos no percurso casa-escola.</t>
  </si>
  <si>
    <t>7.1) variável: tempo decorrido entre duas chegadas consecutivas de utilizadores a um terminal de multibanco.</t>
  </si>
  <si>
    <t>Dimensão da amostra:</t>
  </si>
  <si>
    <t xml:space="preserve">Nº de classes: </t>
  </si>
  <si>
    <t xml:space="preserve">Mínimo: </t>
  </si>
  <si>
    <t xml:space="preserve">Amplitude da classe: </t>
  </si>
  <si>
    <t>limites das classes</t>
  </si>
  <si>
    <t>7.2)</t>
  </si>
  <si>
    <t>7.3.4) A percentagem de tempos inferiores a 2 minutos é de:</t>
  </si>
  <si>
    <t xml:space="preserve">7.3.3) A amplitude dos valores da amostra é </t>
  </si>
  <si>
    <t>7.3.2) O tempo médio de chegada é 3.13, sendo o mais frequente 2.71</t>
  </si>
  <si>
    <t>e o desvio padrão é 2,015.</t>
  </si>
  <si>
    <t>9.1) Altura dos alunos da ESTGA</t>
  </si>
  <si>
    <t xml:space="preserve">dimensão da amostra: </t>
  </si>
  <si>
    <t>Nº de classes:</t>
  </si>
  <si>
    <t>Limite das classes</t>
  </si>
  <si>
    <t>9.2)</t>
  </si>
  <si>
    <t xml:space="preserve">9.3) </t>
  </si>
  <si>
    <t xml:space="preserve">9.3.3) A amplitude dos valores da amostra é </t>
  </si>
  <si>
    <t>Vaiável quantitativa discreta.</t>
  </si>
  <si>
    <t>dimensão =</t>
  </si>
  <si>
    <t>Nº de classes=</t>
  </si>
  <si>
    <t>Amplitude da classe=</t>
  </si>
  <si>
    <t>(ou seja, a amplitude pode ser 1)</t>
  </si>
  <si>
    <t>10.2)</t>
  </si>
  <si>
    <t>Estatísticas de Sumário</t>
  </si>
  <si>
    <t>Média:</t>
  </si>
  <si>
    <t>Desvio padrão:</t>
  </si>
  <si>
    <t>10.3)</t>
  </si>
  <si>
    <t>25.7</t>
  </si>
  <si>
    <t>8.1) Variável: Nº de irmãos dos alunos da ESTGA</t>
  </si>
  <si>
    <t>(só é para usar classes quando diz Regra de Sturges)</t>
  </si>
  <si>
    <t>8.2) TABELA DE FREQUÊNCIAS</t>
  </si>
  <si>
    <t xml:space="preserve">dimensão da amostra= </t>
  </si>
  <si>
    <t xml:space="preserve">8.3) </t>
  </si>
  <si>
    <t>8.4)</t>
  </si>
  <si>
    <t>8.4.1)</t>
  </si>
  <si>
    <t>8.4.2)</t>
  </si>
  <si>
    <t>Mediana:</t>
  </si>
  <si>
    <t>Moda:</t>
  </si>
  <si>
    <t>Amplitude da amostra:</t>
  </si>
  <si>
    <t>(3-0) = 3</t>
  </si>
  <si>
    <t>O grupo dos 50% dos alunos com menor nº de irmãos tem no máximo 1 irmão.</t>
  </si>
  <si>
    <t>O nº de irmãos mais frequente é 1.</t>
  </si>
  <si>
    <t xml:space="preserve">8.4.3) 64% dos alunos têm menos de 2 irmãos. </t>
  </si>
  <si>
    <t>12.1) Variável: tempo, em minutos, dedicado pelos aunos da ESTGA ao estudo de MQI.</t>
  </si>
  <si>
    <t>Variável quantitativa contínua.</t>
  </si>
  <si>
    <t xml:space="preserve">12.2) </t>
  </si>
  <si>
    <t xml:space="preserve">Nº de classes = </t>
  </si>
  <si>
    <t xml:space="preserve">Amplitude das classes= </t>
  </si>
  <si>
    <t>(usar 22)</t>
  </si>
  <si>
    <t>(no need)</t>
  </si>
  <si>
    <t>42.5%</t>
  </si>
  <si>
    <t>(como os dados são números inteiros)</t>
  </si>
  <si>
    <t>Limites das classes:</t>
  </si>
  <si>
    <t>12.2.)</t>
  </si>
  <si>
    <t>12.3)</t>
  </si>
  <si>
    <t>12.3.1) O tempo médio de estudo semanal é 113,1 minutos.</t>
  </si>
  <si>
    <t>Minutos=</t>
  </si>
  <si>
    <t>12.3.3) A variância e o desvio padrão amostral são respetivamente, 1909,08 e 43,693.</t>
  </si>
  <si>
    <t>Nº alunos que trabalha menos de 192 minutos:</t>
  </si>
  <si>
    <t>9.3.1) A altura dos alunos varia entre 1,66 e 1,99.</t>
  </si>
  <si>
    <t>9.3.2) A altura média dos alunos é 1,82.</t>
  </si>
  <si>
    <t>9.3.4) A altura mínima de um aluno que pertence ao grupo dos 50% mais altos é  1,82.</t>
  </si>
  <si>
    <t>10.1) Número de linhas de código adicionadas por 40 programadores.</t>
  </si>
  <si>
    <t xml:space="preserve">11.1) Tempos de resposta (em ms) de um sistema de defesa contra ataques DDoS ao longo de 150 incidentes. </t>
  </si>
  <si>
    <t>Regra de Sturges:</t>
  </si>
  <si>
    <t>Dimensão:</t>
  </si>
  <si>
    <t>Amplitude das Classes:</t>
  </si>
  <si>
    <t xml:space="preserve">Número de Classes: </t>
  </si>
  <si>
    <t>(vou usar 12)</t>
  </si>
  <si>
    <t>11.2) Histograma usando as frequências absolutas:</t>
  </si>
  <si>
    <t>11.3)</t>
  </si>
  <si>
    <t>11.3.1 O tempo de resposta do sistema de defesa  varia entre 103 e 198 sendo a amplitude dos valores da amostra 95.</t>
  </si>
  <si>
    <t>11.3.2 O tempo médio de resposta é 150,06 sendo o mais frequente 167.</t>
  </si>
  <si>
    <t>11.3.3  O tempo máximo de resposta que pertence ao grupo dos 50% mais rápidos é 151,5.</t>
  </si>
  <si>
    <t>11.3.4. A variância e o desvio padrão amostral são respetivamente, 647,1574 e  25,43929.</t>
  </si>
  <si>
    <t>11.3.5 A percentagem de tempos inferiores a 140 mlissegundos  é de 35,3%.</t>
  </si>
  <si>
    <t>7.3.1) O tempo de chegada entre duas pessoas consecutivas a uma caixa de multibanco varia entre 0,16 e 7,99 minutos.</t>
  </si>
  <si>
    <t>12.4) A unidade de MQI tem 6 ECTS o que significa que o estudante deve trabalhar semanalmente, fora das aulas, cerca de 3,2 horas. Determine a percentagem de alunos que trabalha menos do que deveria.</t>
  </si>
  <si>
    <t>12.3.2) O tempo mínimo de estudo semanal que pertence ao grupo dos 50% que mais tempo dedica ao estudo de MQI é 113,5 minutos.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</si>
</sst>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1" applyFill="1" applyBorder="1"/>
    <xf numFmtId="164" fontId="1" fillId="0" borderId="0" xfId="1" applyNumberFormat="1" applyFill="1" applyBorder="1"/>
    <xf numFmtId="0" fontId="0" fillId="0" borderId="0" xfId="1" applyFont="1" applyFill="1" applyBorder="1"/>
    <xf numFmtId="9" fontId="0" fillId="0" borderId="0" xfId="2" applyFont="1"/>
    <xf numFmtId="164" fontId="0" fillId="0" borderId="0" xfId="2" applyNumberFormat="1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2" fillId="0" borderId="0" xfId="1" applyFont="1" applyFill="1" applyBorder="1" applyAlignment="1">
      <alignment horizontal="center"/>
    </xf>
    <xf numFmtId="0" fontId="0" fillId="0" borderId="0" xfId="1" applyFont="1" applyFill="1" applyBorder="1" applyAlignment="1">
      <alignment horizontal="center"/>
    </xf>
    <xf numFmtId="164" fontId="1" fillId="0" borderId="0" xfId="2" applyNumberFormat="1" applyFill="1" applyBorder="1"/>
    <xf numFmtId="1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Protection="1">
      <protection locked="0"/>
    </xf>
    <xf numFmtId="164" fontId="0" fillId="0" borderId="0" xfId="2" applyNumberFormat="1" applyFont="1" applyFill="1"/>
    <xf numFmtId="9" fontId="0" fillId="0" borderId="0" xfId="2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165" fontId="0" fillId="0" borderId="0" xfId="3" applyNumberFormat="1" applyFont="1"/>
    <xf numFmtId="164" fontId="0" fillId="0" borderId="0" xfId="0" applyNumberFormat="1"/>
    <xf numFmtId="43" fontId="0" fillId="0" borderId="0" xfId="3" applyFont="1" applyFill="1" applyBorder="1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2" applyNumberFormat="1" applyFont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0" fillId="0" borderId="3" xfId="0" applyBorder="1"/>
    <xf numFmtId="10" fontId="0" fillId="0" borderId="3" xfId="2" applyNumberFormat="1" applyFont="1" applyBorder="1"/>
    <xf numFmtId="165" fontId="0" fillId="0" borderId="3" xfId="3" applyNumberFormat="1" applyFont="1" applyBorder="1"/>
    <xf numFmtId="164" fontId="0" fillId="0" borderId="3" xfId="2" applyNumberFormat="1" applyFont="1" applyBorder="1"/>
    <xf numFmtId="164" fontId="0" fillId="0" borderId="3" xfId="0" applyNumberFormat="1" applyBorder="1"/>
    <xf numFmtId="0" fontId="0" fillId="0" borderId="4" xfId="0" applyBorder="1" applyAlignment="1">
      <alignment horizontal="center" vertical="center"/>
    </xf>
    <xf numFmtId="164" fontId="0" fillId="0" borderId="5" xfId="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8" xfId="3" applyNumberFormat="1" applyFont="1" applyBorder="1" applyAlignment="1">
      <alignment horizontal="center" vertical="center"/>
    </xf>
    <xf numFmtId="164" fontId="0" fillId="0" borderId="8" xfId="2" applyNumberFormat="1" applyFont="1" applyBorder="1" applyAlignment="1">
      <alignment horizontal="center" vertical="center"/>
    </xf>
    <xf numFmtId="164" fontId="0" fillId="0" borderId="9" xfId="0" applyNumberFormat="1" applyBorder="1"/>
    <xf numFmtId="165" fontId="0" fillId="0" borderId="8" xfId="3" applyNumberFormat="1" applyFont="1" applyFill="1" applyBorder="1" applyAlignment="1">
      <alignment horizontal="center" vertical="center"/>
    </xf>
    <xf numFmtId="165" fontId="0" fillId="0" borderId="8" xfId="3" applyNumberFormat="1" applyFont="1" applyBorder="1"/>
    <xf numFmtId="0" fontId="0" fillId="0" borderId="10" xfId="0" applyBorder="1" applyAlignment="1">
      <alignment horizontal="center" vertical="center"/>
    </xf>
    <xf numFmtId="165" fontId="0" fillId="0" borderId="11" xfId="3" applyNumberFormat="1" applyFont="1" applyBorder="1"/>
    <xf numFmtId="164" fontId="0" fillId="0" borderId="11" xfId="2" applyNumberFormat="1" applyFont="1" applyBorder="1" applyAlignment="1">
      <alignment horizontal="center" vertical="center"/>
    </xf>
    <xf numFmtId="165" fontId="0" fillId="0" borderId="11" xfId="3" applyNumberFormat="1" applyFont="1" applyBorder="1" applyAlignment="1">
      <alignment horizontal="center" vertical="center"/>
    </xf>
    <xf numFmtId="164" fontId="0" fillId="0" borderId="12" xfId="0" applyNumberFormat="1" applyBorder="1"/>
    <xf numFmtId="10" fontId="0" fillId="0" borderId="0" xfId="2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4">
    <cellStyle name="20% - Cor1" xfId="1" builtinId="30"/>
    <cellStyle name="Normal" xfId="0" builtinId="0"/>
    <cellStyle name="Pe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Marca</a:t>
            </a:r>
            <a:r>
              <a:rPr lang="pt-PT" baseline="0"/>
              <a:t> de queijo favorita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Folha1!$H$20:$H$23</c:f>
              <c:strCache>
                <c:ptCount val="4"/>
                <c:pt idx="0">
                  <c:v>S</c:v>
                </c:pt>
                <c:pt idx="1">
                  <c:v>J</c:v>
                </c:pt>
                <c:pt idx="2">
                  <c:v>R</c:v>
                </c:pt>
                <c:pt idx="3">
                  <c:v>T</c:v>
                </c:pt>
              </c:strCache>
            </c:strRef>
          </c:cat>
          <c:val>
            <c:numRef>
              <c:f>Folha1!$I$20:$I$23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9-4E88-83AC-94F52FA15C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7904384"/>
        <c:axId val="1557900544"/>
      </c:barChart>
      <c:catAx>
        <c:axId val="155790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Marca do Queijo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7900544"/>
        <c:crosses val="autoZero"/>
        <c:auto val="1"/>
        <c:lblAlgn val="ctr"/>
        <c:lblOffset val="100"/>
        <c:noMultiLvlLbl val="0"/>
      </c:catAx>
      <c:valAx>
        <c:axId val="15579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Nº</a:t>
                </a:r>
                <a:r>
                  <a:rPr lang="pt-PT" baseline="0"/>
                  <a:t> de clientes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790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Marca de queijo favorita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Folha1!$H$20:$H$23</c:f>
              <c:strCache>
                <c:ptCount val="4"/>
                <c:pt idx="0">
                  <c:v>S</c:v>
                </c:pt>
                <c:pt idx="1">
                  <c:v>J</c:v>
                </c:pt>
                <c:pt idx="2">
                  <c:v>R</c:v>
                </c:pt>
                <c:pt idx="3">
                  <c:v>T</c:v>
                </c:pt>
              </c:strCache>
            </c:strRef>
          </c:cat>
          <c:val>
            <c:numRef>
              <c:f>Folha1!$J$20:$J$23</c:f>
              <c:numCache>
                <c:formatCode>0.0%</c:formatCode>
                <c:ptCount val="4"/>
                <c:pt idx="0">
                  <c:v>0.375</c:v>
                </c:pt>
                <c:pt idx="1">
                  <c:v>0.25</c:v>
                </c:pt>
                <c:pt idx="2">
                  <c:v>0.25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9-4639-B9EB-79A38314F4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7861664"/>
        <c:axId val="1557855424"/>
      </c:barChart>
      <c:catAx>
        <c:axId val="155786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marca</a:t>
                </a:r>
                <a:r>
                  <a:rPr lang="pt-PT" baseline="0"/>
                  <a:t> de queijo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7855424"/>
        <c:crosses val="autoZero"/>
        <c:auto val="1"/>
        <c:lblAlgn val="ctr"/>
        <c:lblOffset val="100"/>
        <c:noMultiLvlLbl val="0"/>
      </c:catAx>
      <c:valAx>
        <c:axId val="15578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nº de clientes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78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Marca</a:t>
            </a:r>
            <a:r>
              <a:rPr lang="pt-PT" baseline="0"/>
              <a:t> de Queijo favorita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30-4630-B1A3-8FC5FF42B1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30-4630-B1A3-8FC5FF42B1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30-4630-B1A3-8FC5FF42B1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30-4630-B1A3-8FC5FF42B1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Folha1!$H$20:$H$23</c:f>
              <c:strCache>
                <c:ptCount val="4"/>
                <c:pt idx="0">
                  <c:v>S</c:v>
                </c:pt>
                <c:pt idx="1">
                  <c:v>J</c:v>
                </c:pt>
                <c:pt idx="2">
                  <c:v>R</c:v>
                </c:pt>
                <c:pt idx="3">
                  <c:v>T</c:v>
                </c:pt>
              </c:strCache>
            </c:strRef>
          </c:cat>
          <c:val>
            <c:numRef>
              <c:f>Folha1!$J$20:$J$23</c:f>
              <c:numCache>
                <c:formatCode>0.0%</c:formatCode>
                <c:ptCount val="4"/>
                <c:pt idx="0">
                  <c:v>0.375</c:v>
                </c:pt>
                <c:pt idx="1">
                  <c:v>0.25</c:v>
                </c:pt>
                <c:pt idx="2">
                  <c:v>0.25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D-45C4-B13F-46C274640E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Marca de queijo favorita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D-43FC-9495-F75B40E780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D-43FC-9495-F75B40E780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D-43FC-9495-F75B40E780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1D-43FC-9495-F75B40E780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Folha1!$H$20:$H$23</c:f>
              <c:strCache>
                <c:ptCount val="4"/>
                <c:pt idx="0">
                  <c:v>S</c:v>
                </c:pt>
                <c:pt idx="1">
                  <c:v>J</c:v>
                </c:pt>
                <c:pt idx="2">
                  <c:v>R</c:v>
                </c:pt>
                <c:pt idx="3">
                  <c:v>T</c:v>
                </c:pt>
              </c:strCache>
            </c:strRef>
          </c:cat>
          <c:val>
            <c:numRef>
              <c:f>Folha1!$I$20:$I$23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7-41D4-B2C4-2C5448161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Nº de cafés bebidos p/ dia pelos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Folha2!$I$22:$I$28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Folha2!$J$22:$J$28</c:f>
              <c:numCache>
                <c:formatCode>General</c:formatCode>
                <c:ptCount val="7"/>
                <c:pt idx="0">
                  <c:v>13</c:v>
                </c:pt>
                <c:pt idx="1">
                  <c:v>24</c:v>
                </c:pt>
                <c:pt idx="2">
                  <c:v>22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C-4B6F-B932-475BA15A8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3938160"/>
        <c:axId val="1753932880"/>
      </c:barChart>
      <c:catAx>
        <c:axId val="175393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nº de cafés bebidos por 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3932880"/>
        <c:crosses val="autoZero"/>
        <c:auto val="1"/>
        <c:lblAlgn val="ctr"/>
        <c:lblOffset val="100"/>
        <c:noMultiLvlLbl val="0"/>
      </c:catAx>
      <c:valAx>
        <c:axId val="17539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nº alunos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393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Nº de cafés bebidos p/ dia pelos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1D-490B-8DF2-5F8B8222E4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1D-490B-8DF2-5F8B8222E4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1D-490B-8DF2-5F8B8222E4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1D-490B-8DF2-5F8B8222E4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1D-490B-8DF2-5F8B8222E4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1D-490B-8DF2-5F8B8222E4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81D-490B-8DF2-5F8B8222E4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Folha2!$I$22:$I$28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Folha2!$K$22:$K$28</c:f>
              <c:numCache>
                <c:formatCode>0%</c:formatCode>
                <c:ptCount val="7"/>
                <c:pt idx="0">
                  <c:v>0.13</c:v>
                </c:pt>
                <c:pt idx="1">
                  <c:v>0.24</c:v>
                </c:pt>
                <c:pt idx="2">
                  <c:v>0.22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0.11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E-4F96-A8BD-AB2D56AAA1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Nº de cafés bebidos p/ dia pelos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39-458E-9ACB-1C2ACF519C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39-458E-9ACB-1C2ACF519C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39-458E-9ACB-1C2ACF519C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39-458E-9ACB-1C2ACF519C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39-458E-9ACB-1C2ACF519C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39-458E-9ACB-1C2ACF519C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039-458E-9ACB-1C2ACF519C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Folha2!$I$22:$I$28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Folha2!$J$22:$J$28</c:f>
              <c:numCache>
                <c:formatCode>General</c:formatCode>
                <c:ptCount val="7"/>
                <c:pt idx="0">
                  <c:v>13</c:v>
                </c:pt>
                <c:pt idx="1">
                  <c:v>24</c:v>
                </c:pt>
                <c:pt idx="2">
                  <c:v>22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4CA9-8D5E-888F21A3D0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Nº de cafés bebidos p/ dia pelos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Folha2!$I$22:$I$28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Folha2!$K$22:$K$28</c:f>
              <c:numCache>
                <c:formatCode>0%</c:formatCode>
                <c:ptCount val="7"/>
                <c:pt idx="0">
                  <c:v>0.13</c:v>
                </c:pt>
                <c:pt idx="1">
                  <c:v>0.24</c:v>
                </c:pt>
                <c:pt idx="2">
                  <c:v>0.22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0.11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4-4155-A736-3988F1E785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7855904"/>
        <c:axId val="1557854944"/>
      </c:barChart>
      <c:catAx>
        <c:axId val="155785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nº de cafés bebidos por 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7854944"/>
        <c:crosses val="autoZero"/>
        <c:auto val="1"/>
        <c:lblAlgn val="ctr"/>
        <c:lblOffset val="100"/>
        <c:noMultiLvlLbl val="0"/>
      </c:catAx>
      <c:valAx>
        <c:axId val="15578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percentagem de alunos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785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 número de livros lidos nas últimas férias de verão dos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Folha3!$F$17:$F$21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Folha3!$G$17:$G$21</c:f>
              <c:numCache>
                <c:formatCode>General</c:formatCode>
                <c:ptCount val="5"/>
                <c:pt idx="0">
                  <c:v>21</c:v>
                </c:pt>
                <c:pt idx="1">
                  <c:v>30</c:v>
                </c:pt>
                <c:pt idx="2">
                  <c:v>15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2-40EB-A1D7-EBCF6C0A90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3967440"/>
        <c:axId val="1753963600"/>
      </c:barChart>
      <c:catAx>
        <c:axId val="175396744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3963600"/>
        <c:crosses val="autoZero"/>
        <c:auto val="1"/>
        <c:lblAlgn val="ctr"/>
        <c:lblOffset val="100"/>
        <c:noMultiLvlLbl val="0"/>
      </c:catAx>
      <c:valAx>
        <c:axId val="175396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396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 número de livros lidos nas últimas férias de verão dos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32-4A6C-9C75-5B2F38194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32-4A6C-9C75-5B2F38194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32-4A6C-9C75-5B2F38194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32-4A6C-9C75-5B2F381943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32-4A6C-9C75-5B2F38194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Folha3!$F$17:$F$21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Folha3!$G$17:$G$21</c:f>
              <c:numCache>
                <c:formatCode>General</c:formatCode>
                <c:ptCount val="5"/>
                <c:pt idx="0">
                  <c:v>21</c:v>
                </c:pt>
                <c:pt idx="1">
                  <c:v>30</c:v>
                </c:pt>
                <c:pt idx="2">
                  <c:v>15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F-4307-B867-579883A566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Folha3!$F$17:$F$21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Folha3!$H$17:$H$21</c:f>
              <c:numCache>
                <c:formatCode>0.0%</c:formatCode>
                <c:ptCount val="5"/>
                <c:pt idx="0">
                  <c:v>0.26250000000000001</c:v>
                </c:pt>
                <c:pt idx="1">
                  <c:v>0.375</c:v>
                </c:pt>
                <c:pt idx="2">
                  <c:v>0.1875</c:v>
                </c:pt>
                <c:pt idx="3">
                  <c:v>0.1</c:v>
                </c:pt>
                <c:pt idx="4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5-44E3-BC7D-575E4B8CC5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5785136"/>
        <c:axId val="1565785616"/>
      </c:barChart>
      <c:catAx>
        <c:axId val="15657851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5785616"/>
        <c:crosses val="autoZero"/>
        <c:auto val="1"/>
        <c:lblAlgn val="ctr"/>
        <c:lblOffset val="100"/>
        <c:noMultiLvlLbl val="0"/>
      </c:catAx>
      <c:valAx>
        <c:axId val="15657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578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6E-43DE-B411-396E9DCF3A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6E-43DE-B411-396E9DCF3A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6E-43DE-B411-396E9DCF3A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6E-43DE-B411-396E9DCF3A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6E-43DE-B411-396E9DCF3A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Folha3!$F$17:$F$21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Folha3!$H$17:$H$21</c:f>
              <c:numCache>
                <c:formatCode>0.0%</c:formatCode>
                <c:ptCount val="5"/>
                <c:pt idx="0">
                  <c:v>0.26250000000000001</c:v>
                </c:pt>
                <c:pt idx="1">
                  <c:v>0.375</c:v>
                </c:pt>
                <c:pt idx="2">
                  <c:v>0.1875</c:v>
                </c:pt>
                <c:pt idx="3">
                  <c:v>0.1</c:v>
                </c:pt>
                <c:pt idx="4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E-4956-BC02-493F5C9726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Número de peças de frutas consumidas diariamente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Folha4!$G$18:$G$24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Folha4!$H$18:$H$24</c:f>
              <c:numCache>
                <c:formatCode>General</c:formatCode>
                <c:ptCount val="7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B-4150-9464-0A4C79BCC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1120"/>
        <c:axId val="16761600"/>
      </c:barChart>
      <c:catAx>
        <c:axId val="167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761600"/>
        <c:crosses val="autoZero"/>
        <c:auto val="1"/>
        <c:lblAlgn val="ctr"/>
        <c:lblOffset val="100"/>
        <c:noMultiLvlLbl val="0"/>
      </c:catAx>
      <c:valAx>
        <c:axId val="167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7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peças de frutas consumidas diariamente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D-47A1-B027-3F7414B5B2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D-47A1-B027-3F7414B5B2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D-47A1-B027-3F7414B5B2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D-47A1-B027-3F7414B5B2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1D-47A1-B027-3F7414B5B2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1D-47A1-B027-3F7414B5B2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1D-47A1-B027-3F7414B5B224}"/>
              </c:ext>
            </c:extLst>
          </c:dPt>
          <c:cat>
            <c:numRef>
              <c:f>Folha4!$G$18:$G$24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Folha4!$H$18:$H$24</c:f>
              <c:numCache>
                <c:formatCode>General</c:formatCode>
                <c:ptCount val="7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A-42AC-9B61-3994B70FC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peças de frutas consumidas diariamente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Folha4!$G$18:$G$24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Folha4!$I$18:$I$24</c:f>
              <c:numCache>
                <c:formatCode>0.00%</c:formatCode>
                <c:ptCount val="7"/>
                <c:pt idx="0">
                  <c:v>0.14166666666666666</c:v>
                </c:pt>
                <c:pt idx="1">
                  <c:v>0.15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0.11666666666666667</c:v>
                </c:pt>
                <c:pt idx="5">
                  <c:v>0.125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4C6-B3E1-D853F83DB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808096"/>
        <c:axId val="1560807616"/>
      </c:barChart>
      <c:catAx>
        <c:axId val="156080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0807616"/>
        <c:crosses val="autoZero"/>
        <c:auto val="1"/>
        <c:lblAlgn val="ctr"/>
        <c:lblOffset val="100"/>
        <c:noMultiLvlLbl val="0"/>
      </c:catAx>
      <c:valAx>
        <c:axId val="156080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080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peças de frutas consumidas diariamente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FF-4053-BA01-4B2EAF35B1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FF-4053-BA01-4B2EAF35B1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FF-4053-BA01-4B2EAF35B1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FF-4053-BA01-4B2EAF35B1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FF-4053-BA01-4B2EAF35B1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FF-4053-BA01-4B2EAF35B1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FF-4053-BA01-4B2EAF35B1EB}"/>
              </c:ext>
            </c:extLst>
          </c:dPt>
          <c:cat>
            <c:numRef>
              <c:f>Folha4!$G$18:$G$24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Folha4!$I$18:$I$24</c:f>
              <c:numCache>
                <c:formatCode>0.00%</c:formatCode>
                <c:ptCount val="7"/>
                <c:pt idx="0">
                  <c:v>0.14166666666666666</c:v>
                </c:pt>
                <c:pt idx="1">
                  <c:v>0.15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0.11666666666666667</c:v>
                </c:pt>
                <c:pt idx="5">
                  <c:v>0.125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A-4D34-B42A-139A36525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Folha5!$E$25:$E$30</c:f>
              <c:strCache>
                <c:ptCount val="6"/>
                <c:pt idx="0">
                  <c:v>]2,55;2,71]</c:v>
                </c:pt>
                <c:pt idx="1">
                  <c:v>]2,71;2,87]</c:v>
                </c:pt>
                <c:pt idx="2">
                  <c:v>]2,87;3,03]</c:v>
                </c:pt>
                <c:pt idx="3">
                  <c:v>]3,03;3,19]</c:v>
                </c:pt>
                <c:pt idx="4">
                  <c:v>]3,19;3,35]</c:v>
                </c:pt>
                <c:pt idx="5">
                  <c:v>]3,35;3,51]</c:v>
                </c:pt>
              </c:strCache>
            </c:strRef>
          </c:cat>
          <c:val>
            <c:numRef>
              <c:f>Folha5!$G$25:$G$30</c:f>
              <c:numCache>
                <c:formatCode>0.0%</c:formatCode>
                <c:ptCount val="6"/>
                <c:pt idx="0">
                  <c:v>0.06</c:v>
                </c:pt>
                <c:pt idx="1">
                  <c:v>0.16</c:v>
                </c:pt>
                <c:pt idx="2">
                  <c:v>0.38</c:v>
                </c:pt>
                <c:pt idx="3">
                  <c:v>0.16</c:v>
                </c:pt>
                <c:pt idx="4">
                  <c:v>0.18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2-468F-97DE-8D5B6FAC40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565743376"/>
        <c:axId val="1565751056"/>
      </c:barChart>
      <c:catAx>
        <c:axId val="15657433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5751056"/>
        <c:crosses val="autoZero"/>
        <c:auto val="1"/>
        <c:lblAlgn val="ctr"/>
        <c:lblOffset val="100"/>
        <c:noMultiLvlLbl val="0"/>
      </c:catAx>
      <c:valAx>
        <c:axId val="15657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574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 Tempo (min) que alunos da ESTGA demoram no percurso casa-escola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Folha6!$F$32:$F$38</c:f>
              <c:strCache>
                <c:ptCount val="7"/>
                <c:pt idx="0">
                  <c:v>]4,10]</c:v>
                </c:pt>
                <c:pt idx="1">
                  <c:v>]10,16]</c:v>
                </c:pt>
                <c:pt idx="2">
                  <c:v>]16,22]</c:v>
                </c:pt>
                <c:pt idx="3">
                  <c:v>]22,28]</c:v>
                </c:pt>
                <c:pt idx="4">
                  <c:v>]28,34]</c:v>
                </c:pt>
                <c:pt idx="5">
                  <c:v>]34,40]</c:v>
                </c:pt>
                <c:pt idx="6">
                  <c:v>]40,46]</c:v>
                </c:pt>
              </c:strCache>
            </c:strRef>
          </c:cat>
          <c:val>
            <c:numRef>
              <c:f>Folha6!$H$32:$H$38</c:f>
              <c:numCache>
                <c:formatCode>0.0%</c:formatCode>
                <c:ptCount val="7"/>
                <c:pt idx="0">
                  <c:v>0.15094339622641509</c:v>
                </c:pt>
                <c:pt idx="1">
                  <c:v>0.32075471698113206</c:v>
                </c:pt>
                <c:pt idx="2">
                  <c:v>0.16981132075471697</c:v>
                </c:pt>
                <c:pt idx="3">
                  <c:v>0.20754716981132076</c:v>
                </c:pt>
                <c:pt idx="4">
                  <c:v>6.6037735849056603E-2</c:v>
                </c:pt>
                <c:pt idx="5">
                  <c:v>5.6603773584905662E-2</c:v>
                </c:pt>
                <c:pt idx="6">
                  <c:v>2.8301886792452831E-2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0-48BF-85EE-B88FE2AF0E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565788016"/>
        <c:axId val="1565772176"/>
      </c:barChart>
      <c:catAx>
        <c:axId val="156578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5772176"/>
        <c:crosses val="autoZero"/>
        <c:auto val="1"/>
        <c:lblAlgn val="ctr"/>
        <c:lblOffset val="100"/>
        <c:noMultiLvlLbl val="0"/>
      </c:catAx>
      <c:valAx>
        <c:axId val="15657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57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Folha7!$E$30:$E$36</c:f>
              <c:strCache>
                <c:ptCount val="7"/>
                <c:pt idx="0">
                  <c:v>]0,15;1,27]</c:v>
                </c:pt>
                <c:pt idx="1">
                  <c:v>]1,27;2,39]</c:v>
                </c:pt>
                <c:pt idx="2">
                  <c:v>]2,39;3,51]</c:v>
                </c:pt>
                <c:pt idx="3">
                  <c:v>]3,51;4,63]</c:v>
                </c:pt>
                <c:pt idx="4">
                  <c:v>]4,63;5,75]</c:v>
                </c:pt>
                <c:pt idx="5">
                  <c:v>]5,75;6,87]</c:v>
                </c:pt>
                <c:pt idx="6">
                  <c:v>]6,87;7,99]</c:v>
                </c:pt>
              </c:strCache>
            </c:strRef>
          </c:cat>
          <c:val>
            <c:numRef>
              <c:f>Folha7!$G$30:$G$36</c:f>
              <c:numCache>
                <c:formatCode>0.0%</c:formatCode>
                <c:ptCount val="7"/>
                <c:pt idx="0">
                  <c:v>0.19166666666666668</c:v>
                </c:pt>
                <c:pt idx="1">
                  <c:v>0.23333333333333334</c:v>
                </c:pt>
                <c:pt idx="2">
                  <c:v>0.21666666666666667</c:v>
                </c:pt>
                <c:pt idx="3">
                  <c:v>0.13333333333333333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4-42E3-A981-6B1A3EFF8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918470479"/>
        <c:axId val="1918471439"/>
      </c:barChart>
      <c:catAx>
        <c:axId val="191847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18471439"/>
        <c:crosses val="autoZero"/>
        <c:auto val="1"/>
        <c:lblAlgn val="ctr"/>
        <c:lblOffset val="100"/>
        <c:noMultiLvlLbl val="0"/>
      </c:catAx>
      <c:valAx>
        <c:axId val="19184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1847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Nº de irmãos dos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Folha8!$E$20:$E$23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Folha8!$G$20:$G$23</c:f>
              <c:numCache>
                <c:formatCode>0%</c:formatCode>
                <c:ptCount val="4"/>
                <c:pt idx="0">
                  <c:v>0.28000000000000003</c:v>
                </c:pt>
                <c:pt idx="1">
                  <c:v>0.36</c:v>
                </c:pt>
                <c:pt idx="2">
                  <c:v>0.24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0-4AC9-B1E4-2F7A6194A8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382528"/>
        <c:axId val="473386368"/>
      </c:barChart>
      <c:catAx>
        <c:axId val="47338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nº irmãos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386368"/>
        <c:crosses val="autoZero"/>
        <c:auto val="1"/>
        <c:lblAlgn val="ctr"/>
        <c:lblOffset val="100"/>
        <c:noMultiLvlLbl val="0"/>
      </c:catAx>
      <c:valAx>
        <c:axId val="4733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38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Folha9!$G$28:$G$34</c:f>
              <c:strCache>
                <c:ptCount val="7"/>
                <c:pt idx="0">
                  <c:v>]1,65;1,7]</c:v>
                </c:pt>
                <c:pt idx="1">
                  <c:v>]1,7;1,75]</c:v>
                </c:pt>
                <c:pt idx="2">
                  <c:v>]1,75;1,8]</c:v>
                </c:pt>
                <c:pt idx="3">
                  <c:v>]1,8;1,85]</c:v>
                </c:pt>
                <c:pt idx="4">
                  <c:v>]1,85;1,9]</c:v>
                </c:pt>
                <c:pt idx="5">
                  <c:v>]1,9;1,95]</c:v>
                </c:pt>
                <c:pt idx="6">
                  <c:v>]1,95;2]</c:v>
                </c:pt>
              </c:strCache>
            </c:strRef>
          </c:cat>
          <c:val>
            <c:numRef>
              <c:f>Folha9!$I$28:$I$34</c:f>
              <c:numCache>
                <c:formatCode>0.0%</c:formatCode>
                <c:ptCount val="7"/>
                <c:pt idx="0">
                  <c:v>5.8333333333333334E-2</c:v>
                </c:pt>
                <c:pt idx="1">
                  <c:v>0.10833333333333334</c:v>
                </c:pt>
                <c:pt idx="2">
                  <c:v>0.29166666666666669</c:v>
                </c:pt>
                <c:pt idx="3">
                  <c:v>0.25</c:v>
                </c:pt>
                <c:pt idx="4">
                  <c:v>0.20833333333333334</c:v>
                </c:pt>
                <c:pt idx="5">
                  <c:v>6.6666666666666666E-2</c:v>
                </c:pt>
                <c:pt idx="6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2-41ED-B020-0B355E45D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575757151"/>
        <c:axId val="1575757631"/>
      </c:barChart>
      <c:catAx>
        <c:axId val="15757571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5757631"/>
        <c:crosses val="autoZero"/>
        <c:auto val="1"/>
        <c:lblAlgn val="ctr"/>
        <c:lblOffset val="100"/>
        <c:noMultiLvlLbl val="0"/>
      </c:catAx>
      <c:valAx>
        <c:axId val="15757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57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Tempos de resposta (em ms) de um sistema de defesa contra ataques DDoS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Folha11!$H$28:$H$35</c:f>
              <c:strCache>
                <c:ptCount val="8"/>
                <c:pt idx="0">
                  <c:v>]102;114]</c:v>
                </c:pt>
                <c:pt idx="1">
                  <c:v>]114;126]</c:v>
                </c:pt>
                <c:pt idx="2">
                  <c:v>]126;138]</c:v>
                </c:pt>
                <c:pt idx="3">
                  <c:v>]138;150]</c:v>
                </c:pt>
                <c:pt idx="4">
                  <c:v>]150;162]</c:v>
                </c:pt>
                <c:pt idx="5">
                  <c:v>]162;174]</c:v>
                </c:pt>
                <c:pt idx="6">
                  <c:v>]174;186]</c:v>
                </c:pt>
                <c:pt idx="7">
                  <c:v>]186;198]</c:v>
                </c:pt>
              </c:strCache>
            </c:strRef>
          </c:cat>
          <c:val>
            <c:numRef>
              <c:f>Folha11!$I$28:$I$35</c:f>
              <c:numCache>
                <c:formatCode>General</c:formatCode>
                <c:ptCount val="8"/>
                <c:pt idx="0">
                  <c:v>14</c:v>
                </c:pt>
                <c:pt idx="1">
                  <c:v>21</c:v>
                </c:pt>
                <c:pt idx="2">
                  <c:v>16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17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B-490D-BAEE-689232B8BE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565681967"/>
        <c:axId val="565683407"/>
      </c:barChart>
      <c:catAx>
        <c:axId val="56568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5683407"/>
        <c:crosses val="autoZero"/>
        <c:auto val="1"/>
        <c:lblAlgn val="ctr"/>
        <c:lblOffset val="100"/>
        <c:noMultiLvlLbl val="0"/>
      </c:catAx>
      <c:valAx>
        <c:axId val="5656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frequêcia absoluta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568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 Tempo, em minutos, dedicado pelos alunos da ESTGA ao estudo de MQI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Folha12!$F$30:$F$36</c:f>
              <c:strCache>
                <c:ptCount val="7"/>
                <c:pt idx="0">
                  <c:v>]43,65]</c:v>
                </c:pt>
                <c:pt idx="1">
                  <c:v>]65,87]</c:v>
                </c:pt>
                <c:pt idx="2">
                  <c:v>]87,109]</c:v>
                </c:pt>
                <c:pt idx="3">
                  <c:v>]109,131]</c:v>
                </c:pt>
                <c:pt idx="4">
                  <c:v>]131,153]</c:v>
                </c:pt>
                <c:pt idx="5">
                  <c:v>]153,175]</c:v>
                </c:pt>
                <c:pt idx="6">
                  <c:v>]175,197]</c:v>
                </c:pt>
              </c:strCache>
            </c:strRef>
          </c:cat>
          <c:val>
            <c:numRef>
              <c:f>Folha12!$H$30:$H$36</c:f>
              <c:numCache>
                <c:formatCode>0%</c:formatCode>
                <c:ptCount val="7"/>
                <c:pt idx="0">
                  <c:v>0.2</c:v>
                </c:pt>
                <c:pt idx="1">
                  <c:v>0.10833333333333334</c:v>
                </c:pt>
                <c:pt idx="2">
                  <c:v>0.15833333333333333</c:v>
                </c:pt>
                <c:pt idx="3">
                  <c:v>0.2</c:v>
                </c:pt>
                <c:pt idx="4">
                  <c:v>0.1</c:v>
                </c:pt>
                <c:pt idx="5">
                  <c:v>0.13333333333333333</c:v>
                </c:pt>
                <c:pt idx="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2-40D7-AF7F-0B076F4F6C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473421888"/>
        <c:axId val="473412288"/>
      </c:barChart>
      <c:catAx>
        <c:axId val="4734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412288"/>
        <c:crosses val="autoZero"/>
        <c:auto val="1"/>
        <c:lblAlgn val="ctr"/>
        <c:lblOffset val="100"/>
        <c:noMultiLvlLbl val="0"/>
      </c:catAx>
      <c:valAx>
        <c:axId val="4734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42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560746</xdr:colOff>
      <xdr:row>10</xdr:row>
      <xdr:rowOff>97447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932B92C-613D-48C5-AC8C-6A8E5E439A7D}"/>
            </a:ext>
          </a:extLst>
        </xdr:cNvPr>
        <xdr:cNvSpPr txBox="1"/>
      </xdr:nvSpPr>
      <xdr:spPr>
        <a:xfrm>
          <a:off x="0" y="0"/>
          <a:ext cx="7842762" cy="20178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</a:t>
          </a:r>
        </a:p>
        <a:p>
          <a:pPr algn="l"/>
          <a:r>
            <a:rPr lang="pt-PT" sz="1200" b="0" i="0" u="none" strike="noStrike" baseline="0">
              <a:latin typeface="CMR10"/>
            </a:rPr>
            <a:t>O dono de um restaurante pretendia analisar a marca de queijo favorita dos seus clientes de entre as seguintes: Serra</a:t>
          </a:r>
        </a:p>
        <a:p>
          <a:pPr algn="l"/>
          <a:r>
            <a:rPr lang="pt-PT" sz="1200" b="0" i="0" u="none" strike="noStrike" baseline="0">
              <a:latin typeface="CMR10"/>
            </a:rPr>
            <a:t>(</a:t>
          </a:r>
          <a:r>
            <a:rPr lang="pt-PT" sz="1200" b="0" i="0" u="none" strike="noStrike" baseline="0">
              <a:latin typeface="CMBX10"/>
            </a:rPr>
            <a:t>S</a:t>
          </a:r>
          <a:r>
            <a:rPr lang="pt-PT" sz="1200" b="0" i="0" u="none" strike="noStrike" baseline="0">
              <a:latin typeface="CMR10"/>
            </a:rPr>
            <a:t>), São Jorge (</a:t>
          </a:r>
          <a:r>
            <a:rPr lang="pt-PT" sz="1200" b="0" i="0" u="none" strike="noStrike" baseline="0">
              <a:latin typeface="CMBX10"/>
            </a:rPr>
            <a:t>J</a:t>
          </a:r>
          <a:r>
            <a:rPr lang="pt-PT" sz="1200" b="0" i="0" u="none" strike="noStrike" baseline="0">
              <a:latin typeface="CMR10"/>
            </a:rPr>
            <a:t>), Rabaçal(</a:t>
          </a:r>
          <a:r>
            <a:rPr lang="pt-PT" sz="1200" b="0" i="0" u="none" strike="noStrike" baseline="0">
              <a:latin typeface="CMBX10"/>
            </a:rPr>
            <a:t>R</a:t>
          </a:r>
          <a:r>
            <a:rPr lang="pt-PT" sz="1200" b="0" i="0" u="none" strike="noStrike" baseline="0">
              <a:latin typeface="CMR10"/>
            </a:rPr>
            <a:t>) e Transmontano (</a:t>
          </a:r>
          <a:r>
            <a:rPr lang="pt-PT" sz="1200" b="0" i="0" u="none" strike="noStrike" baseline="0">
              <a:latin typeface="CMBX10"/>
            </a:rPr>
            <a:t>T</a:t>
          </a:r>
          <a:r>
            <a:rPr lang="pt-PT" sz="1200" b="0" i="0" u="none" strike="noStrike" baseline="0">
              <a:latin typeface="CMR10"/>
            </a:rPr>
            <a:t>). Para tal recolheu a opinião de 24 dos seus clientes. A amostra</a:t>
          </a:r>
        </a:p>
        <a:p>
          <a:pPr algn="l"/>
          <a:r>
            <a:rPr lang="pt-PT" sz="1200" b="0" i="0" u="none" strike="noStrike" baseline="0">
              <a:latin typeface="CMR10"/>
            </a:rPr>
            <a:t>recolhida </a:t>
          </a:r>
          <a:r>
            <a:rPr lang="pt-PT" sz="1200" baseline="0"/>
            <a:t>encontra-se em A14:A37.</a:t>
          </a:r>
        </a:p>
        <a:p>
          <a:r>
            <a:rPr lang="pt-PT" sz="1200" b="1" baseline="0"/>
            <a:t>1.1.</a:t>
          </a:r>
          <a:r>
            <a:rPr lang="pt-PT" sz="1200" baseline="0"/>
            <a:t> Defina e classifique a variável em estudo.</a:t>
          </a:r>
        </a:p>
        <a:p>
          <a:r>
            <a:rPr lang="pt-PT" sz="1200" b="1" baseline="0"/>
            <a:t>1.2.</a:t>
          </a:r>
          <a:r>
            <a:rPr lang="pt-PT" sz="1200" baseline="0"/>
            <a:t> Construa uma tabela de frequências.</a:t>
          </a:r>
        </a:p>
        <a:p>
          <a:r>
            <a:rPr lang="pt-PT" sz="1200" b="1" baseline="0"/>
            <a:t>1.3. </a:t>
          </a:r>
          <a:r>
            <a:rPr lang="pt-PT" sz="1200" baseline="0"/>
            <a:t>Qual é a frequência absoluta de clientes que preferem o queijo Rabaçal? 6</a:t>
          </a:r>
        </a:p>
        <a:p>
          <a:r>
            <a:rPr lang="pt-PT" sz="1200" b="1" baseline="0"/>
            <a:t>1.4.</a:t>
          </a:r>
          <a:r>
            <a:rPr lang="pt-PT" sz="1200" baseline="0"/>
            <a:t> Qual é a frequência relativa de clientes que preferem o queijo Transmontano? 12,5%</a:t>
          </a:r>
        </a:p>
        <a:p>
          <a:r>
            <a:rPr lang="pt-PT" sz="1200" b="1" baseline="0"/>
            <a:t> 1.5.</a:t>
          </a:r>
          <a:r>
            <a:rPr lang="pt-PT" sz="1200" baseline="0"/>
            <a:t> Represente graficamente a informação (diagrama de barras e gráfico circular). </a:t>
          </a:r>
        </a:p>
        <a:p>
          <a:endParaRPr lang="pt-PT" sz="1200" baseline="0"/>
        </a:p>
        <a:p>
          <a:endParaRPr lang="pt-PT" sz="1100"/>
        </a:p>
      </xdr:txBody>
    </xdr:sp>
    <xdr:clientData/>
  </xdr:twoCellAnchor>
  <xdr:twoCellAnchor>
    <xdr:from>
      <xdr:col>5</xdr:col>
      <xdr:colOff>2050179</xdr:colOff>
      <xdr:row>29</xdr:row>
      <xdr:rowOff>9140</xdr:rowOff>
    </xdr:from>
    <xdr:to>
      <xdr:col>10</xdr:col>
      <xdr:colOff>615284</xdr:colOff>
      <xdr:row>44</xdr:row>
      <xdr:rowOff>44629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264D6B-77E1-38F0-E641-9A8A1DED0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28</xdr:row>
      <xdr:rowOff>178133</xdr:rowOff>
    </xdr:from>
    <xdr:to>
      <xdr:col>18</xdr:col>
      <xdr:colOff>123671</xdr:colOff>
      <xdr:row>44</xdr:row>
      <xdr:rowOff>33107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D36579-FD98-8E3F-F71C-DDB27825D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91410</xdr:colOff>
      <xdr:row>44</xdr:row>
      <xdr:rowOff>174293</xdr:rowOff>
    </xdr:from>
    <xdr:to>
      <xdr:col>18</xdr:col>
      <xdr:colOff>119831</xdr:colOff>
      <xdr:row>60</xdr:row>
      <xdr:rowOff>29267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8AC480-AD11-673F-62C3-F3008680F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21980</xdr:colOff>
      <xdr:row>44</xdr:row>
      <xdr:rowOff>180137</xdr:rowOff>
    </xdr:from>
    <xdr:to>
      <xdr:col>10</xdr:col>
      <xdr:colOff>637442</xdr:colOff>
      <xdr:row>59</xdr:row>
      <xdr:rowOff>175740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E93A60-1AB7-6026-93BD-70161BC06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533421</xdr:colOff>
      <xdr:row>12</xdr:row>
      <xdr:rowOff>151191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25029EF-6220-4826-81B0-9AEA0F8864F9}"/>
            </a:ext>
          </a:extLst>
        </xdr:cNvPr>
        <xdr:cNvSpPr txBox="1"/>
      </xdr:nvSpPr>
      <xdr:spPr>
        <a:xfrm>
          <a:off x="0" y="0"/>
          <a:ext cx="9080277" cy="23053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2</a:t>
          </a:r>
        </a:p>
        <a:p>
          <a:pPr algn="l"/>
          <a:r>
            <a:rPr lang="pt-PT" sz="1200" b="0" i="0" u="none" strike="noStrike" baseline="0">
              <a:latin typeface="CMR10"/>
            </a:rPr>
            <a:t>Com o objetivo de analisar o número de cafés bebidos num dia pelos alunos da ESTGA, recolheu-se uma amostra que</a:t>
          </a:r>
        </a:p>
        <a:p>
          <a:pPr algn="l"/>
          <a:r>
            <a:rPr lang="pt-PT" sz="1200" b="0" i="0" u="none" strike="noStrike" baseline="0">
              <a:latin typeface="CMR10"/>
            </a:rPr>
            <a:t>se encontra em A16:A115.</a:t>
          </a:r>
        </a:p>
        <a:p>
          <a:pPr algn="l"/>
          <a:r>
            <a:rPr lang="pt-PT" sz="1200" b="1" baseline="0"/>
            <a:t>2.1.</a:t>
          </a:r>
          <a:r>
            <a:rPr lang="pt-PT" sz="1200" baseline="0"/>
            <a:t> Defina e classifique a variável em estudo.</a:t>
          </a:r>
        </a:p>
        <a:p>
          <a:r>
            <a:rPr lang="pt-PT" sz="1200" b="1" baseline="0"/>
            <a:t>2.2.</a:t>
          </a:r>
          <a:r>
            <a:rPr lang="pt-PT" sz="1200" baseline="0"/>
            <a:t> Construa uma tabela de frequências absolutas e relativas.</a:t>
          </a:r>
        </a:p>
        <a:p>
          <a:r>
            <a:rPr lang="pt-PT" sz="1200" b="1" baseline="0"/>
            <a:t>2.3.</a:t>
          </a:r>
          <a:r>
            <a:rPr lang="pt-PT" sz="1200" baseline="0"/>
            <a:t> Represente graficamente a informação (diagrama de barras e gráfico circular).</a:t>
          </a:r>
        </a:p>
        <a:p>
          <a:r>
            <a:rPr lang="pt-PT" sz="1200" b="1" baseline="0"/>
            <a:t>2.4.</a:t>
          </a:r>
          <a:r>
            <a:rPr lang="pt-PT" sz="1200" baseline="0"/>
            <a:t> Qual o número de alunos que bebe 1 café por dia?</a:t>
          </a:r>
        </a:p>
        <a:p>
          <a:r>
            <a:rPr lang="pt-PT" sz="1200" b="1" baseline="0"/>
            <a:t>2.5</a:t>
          </a:r>
          <a:r>
            <a:rPr lang="pt-PT" sz="1200" baseline="0"/>
            <a:t>. Quantos alunos bebem no máximo 2 cafés por dia?</a:t>
          </a:r>
        </a:p>
        <a:p>
          <a:r>
            <a:rPr lang="pt-PT" sz="1200" b="1" baseline="0"/>
            <a:t>2.6.</a:t>
          </a:r>
          <a:r>
            <a:rPr lang="pt-PT" sz="1200" baseline="0"/>
            <a:t> Qual a percentagem de alunos que bebe mais do que 4 cafés por dia?</a:t>
          </a:r>
        </a:p>
        <a:p>
          <a:r>
            <a:rPr lang="pt-PT" sz="1200" b="1"/>
            <a:t>2.7. </a:t>
          </a:r>
          <a:r>
            <a:rPr lang="pt-PT" sz="1200"/>
            <a:t>Determine:</a:t>
          </a:r>
        </a:p>
        <a:p>
          <a:r>
            <a:rPr lang="pt-PT" sz="1200" b="1"/>
            <a:t>2.7.1.</a:t>
          </a:r>
          <a:r>
            <a:rPr lang="pt-PT" sz="1200"/>
            <a:t> a média e a moda</a:t>
          </a:r>
          <a:r>
            <a:rPr lang="pt-PT" sz="1200" baseline="0"/>
            <a:t> da amostra;</a:t>
          </a:r>
        </a:p>
        <a:p>
          <a:r>
            <a:rPr lang="pt-PT" sz="1200" b="1" baseline="0"/>
            <a:t>2.7.2. </a:t>
          </a:r>
          <a:r>
            <a:rPr lang="pt-PT" sz="1200" baseline="0"/>
            <a:t>a variância e o desvio padrão da amostra;</a:t>
          </a:r>
        </a:p>
        <a:p>
          <a:r>
            <a:rPr lang="pt-PT" sz="1200" b="1" baseline="0"/>
            <a:t>2.7.3. </a:t>
          </a:r>
          <a:r>
            <a:rPr lang="pt-PT" sz="1200" baseline="0"/>
            <a:t>a mediana da amostra e interprete o valor obtido.</a:t>
          </a:r>
        </a:p>
        <a:p>
          <a:endParaRPr lang="pt-PT" sz="1100"/>
        </a:p>
      </xdr:txBody>
    </xdr:sp>
    <xdr:clientData/>
  </xdr:twoCellAnchor>
  <xdr:twoCellAnchor>
    <xdr:from>
      <xdr:col>7</xdr:col>
      <xdr:colOff>9158</xdr:colOff>
      <xdr:row>32</xdr:row>
      <xdr:rowOff>26009</xdr:rowOff>
    </xdr:from>
    <xdr:to>
      <xdr:col>14</xdr:col>
      <xdr:colOff>42130</xdr:colOff>
      <xdr:row>47</xdr:row>
      <xdr:rowOff>76565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91977B-A5D1-E146-B663-07C900114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27474</xdr:colOff>
      <xdr:row>32</xdr:row>
      <xdr:rowOff>29673</xdr:rowOff>
    </xdr:from>
    <xdr:to>
      <xdr:col>22</xdr:col>
      <xdr:colOff>60446</xdr:colOff>
      <xdr:row>47</xdr:row>
      <xdr:rowOff>80229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B265EC-09DB-8982-D780-AEB151176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23811</xdr:colOff>
      <xdr:row>48</xdr:row>
      <xdr:rowOff>11355</xdr:rowOff>
    </xdr:from>
    <xdr:to>
      <xdr:col>14</xdr:col>
      <xdr:colOff>56783</xdr:colOff>
      <xdr:row>63</xdr:row>
      <xdr:rowOff>61911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8DBEDF-2D0B-398D-9EAD-DAAC65A82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9157</xdr:colOff>
      <xdr:row>48</xdr:row>
      <xdr:rowOff>29674</xdr:rowOff>
    </xdr:from>
    <xdr:to>
      <xdr:col>22</xdr:col>
      <xdr:colOff>42129</xdr:colOff>
      <xdr:row>63</xdr:row>
      <xdr:rowOff>80230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171E4EF-69C4-E4C6-5FD6-188307EF3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156827</xdr:colOff>
      <xdr:row>11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4A4B609-BB74-40D0-A6A7-DD5600E72717}"/>
            </a:ext>
          </a:extLst>
        </xdr:cNvPr>
        <xdr:cNvSpPr txBox="1"/>
      </xdr:nvSpPr>
      <xdr:spPr>
        <a:xfrm>
          <a:off x="0" y="0"/>
          <a:ext cx="8691227" cy="21240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3</a:t>
          </a:r>
        </a:p>
        <a:p>
          <a:pPr algn="l"/>
          <a:r>
            <a:rPr lang="pt-PT" sz="1200"/>
            <a:t>No sentido de analisar os hábitos de leitura dos estudantes, questionaram-se os alunos da ESTGA sobre o número de livros lidos nas últimas férias de verão.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3.2.</a:t>
          </a:r>
          <a:r>
            <a:rPr lang="pt-PT" sz="1200" b="0" i="0" u="none" strike="noStrike" baseline="0">
              <a:latin typeface="+mn-lt"/>
            </a:rPr>
            <a:t> Elabore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3.3.</a:t>
          </a:r>
          <a:r>
            <a:rPr lang="pt-PT" sz="1200" b="0" i="0" u="none" strike="noStrike" baseline="0">
              <a:latin typeface="+mn-lt"/>
            </a:rPr>
            <a:t> Represente graficamente a informação anterior.</a:t>
          </a:r>
        </a:p>
        <a:p>
          <a:pPr algn="l"/>
          <a:r>
            <a:rPr lang="pt-PT" sz="1200" b="1" i="0" u="none" strike="noStrike" baseline="0">
              <a:latin typeface="+mn-lt"/>
            </a:rPr>
            <a:t>3.4. </a:t>
          </a:r>
          <a:r>
            <a:rPr lang="pt-PT" sz="1200" b="0" i="0" u="none" strike="noStrike" baseline="0">
              <a:latin typeface="+mn-lt"/>
            </a:rPr>
            <a:t>Calcule as medidas de localização: média, mediana e moda.</a:t>
          </a:r>
        </a:p>
        <a:p>
          <a:pPr algn="l"/>
          <a:r>
            <a:rPr lang="pt-PT" sz="1200" b="1" i="0" u="none" strike="noStrike" baseline="0">
              <a:latin typeface="+mn-lt"/>
            </a:rPr>
            <a:t>3.5.</a:t>
          </a:r>
          <a:r>
            <a:rPr lang="pt-PT" sz="1200" b="0" i="0" u="none" strike="noStrike" baseline="0">
              <a:latin typeface="+mn-lt"/>
            </a:rPr>
            <a:t> Calcule as seguintes medidas de dispersão: amplitude da amostra, variância e desvio padrão.</a:t>
          </a:r>
        </a:p>
        <a:p>
          <a:pPr algn="l"/>
          <a:r>
            <a:rPr lang="pt-PT" sz="1200" b="1" i="0" u="none" strike="noStrike" baseline="0">
              <a:latin typeface="+mn-lt"/>
            </a:rPr>
            <a:t>3.6.</a:t>
          </a:r>
          <a:r>
            <a:rPr lang="pt-PT" sz="1200" b="0" i="0" u="none" strike="noStrike" baseline="0">
              <a:latin typeface="+mn-lt"/>
            </a:rPr>
            <a:t> Calcule a percentagem de alunos que leem no máximo 1 livro nas férias de verão.</a:t>
          </a:r>
        </a:p>
        <a:p>
          <a:pPr algn="l"/>
          <a:r>
            <a:rPr lang="pt-PT" sz="1200" b="1" i="0" u="none" strike="noStrike" baseline="0">
              <a:latin typeface="+mn-lt"/>
            </a:rPr>
            <a:t>3.7. </a:t>
          </a:r>
          <a:r>
            <a:rPr lang="pt-PT" sz="1200" b="0" i="0" u="none" strike="noStrike" baseline="0">
              <a:latin typeface="+mn-lt"/>
            </a:rPr>
            <a:t>Quantos alunos leem pelo menos 3  livros nas férias de verão?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5</xdr:col>
      <xdr:colOff>14493</xdr:colOff>
      <xdr:row>23</xdr:row>
      <xdr:rowOff>177247</xdr:rowOff>
    </xdr:from>
    <xdr:to>
      <xdr:col>12</xdr:col>
      <xdr:colOff>64188</xdr:colOff>
      <xdr:row>39</xdr:row>
      <xdr:rowOff>4969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F8E37F-C91C-950C-D9AE-C7072A1D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337515</xdr:colOff>
      <xdr:row>24</xdr:row>
      <xdr:rowOff>19878</xdr:rowOff>
    </xdr:from>
    <xdr:to>
      <xdr:col>19</xdr:col>
      <xdr:colOff>387211</xdr:colOff>
      <xdr:row>39</xdr:row>
      <xdr:rowOff>29817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2A8E03-D950-C3C1-3F51-E764BA8C8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643972</xdr:colOff>
      <xdr:row>39</xdr:row>
      <xdr:rowOff>181388</xdr:rowOff>
    </xdr:from>
    <xdr:to>
      <xdr:col>12</xdr:col>
      <xdr:colOff>47624</xdr:colOff>
      <xdr:row>55</xdr:row>
      <xdr:rowOff>9109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84E1C5-CF62-EEEF-219A-F5148F307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345798</xdr:colOff>
      <xdr:row>40</xdr:row>
      <xdr:rowOff>11596</xdr:rowOff>
    </xdr:from>
    <xdr:to>
      <xdr:col>19</xdr:col>
      <xdr:colOff>395494</xdr:colOff>
      <xdr:row>55</xdr:row>
      <xdr:rowOff>21535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E470B7-36E2-CB24-2926-172207AA0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523173</xdr:colOff>
      <xdr:row>11</xdr:row>
      <xdr:rowOff>22239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9736A23-6286-4F2F-829E-4193ECEED479}"/>
            </a:ext>
          </a:extLst>
        </xdr:cNvPr>
        <xdr:cNvSpPr txBox="1"/>
      </xdr:nvSpPr>
      <xdr:spPr>
        <a:xfrm>
          <a:off x="0" y="0"/>
          <a:ext cx="9681827" cy="21043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4</a:t>
          </a:r>
        </a:p>
        <a:p>
          <a:pPr algn="l"/>
          <a:r>
            <a:rPr lang="pt-PT" sz="1200"/>
            <a:t>Com o objetivo de realizar um estudo sobre os hábitos de consumo diário de peças de fruta, foram questionados</a:t>
          </a:r>
          <a:r>
            <a:rPr lang="pt-PT" sz="1200" baseline="0"/>
            <a:t> 120 indivíduos.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resultados recolhidos encontram-se apresentados abaixo.</a:t>
          </a:r>
          <a:endParaRPr lang="pt-PT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4.2.</a:t>
          </a:r>
          <a:r>
            <a:rPr lang="pt-PT" sz="1200" b="0" i="0" u="none" strike="noStrike" baseline="0">
              <a:latin typeface="+mn-lt"/>
            </a:rPr>
            <a:t> Elabore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4.3.</a:t>
          </a:r>
          <a:r>
            <a:rPr lang="pt-PT" sz="1200" b="0" i="0" u="none" strike="noStrike" baseline="0">
              <a:latin typeface="+mn-lt"/>
            </a:rPr>
            <a:t> Represente graficamente a informação anterior.</a:t>
          </a:r>
        </a:p>
        <a:p>
          <a:pPr algn="l"/>
          <a:r>
            <a:rPr lang="pt-PT" sz="1200" b="1" i="0" u="none" strike="noStrike" baseline="0">
              <a:latin typeface="+mn-lt"/>
            </a:rPr>
            <a:t>4.4. </a:t>
          </a:r>
          <a:r>
            <a:rPr lang="pt-PT" sz="1200" b="0" i="0" u="none" strike="noStrike" baseline="0">
              <a:latin typeface="+mn-lt"/>
            </a:rPr>
            <a:t>Utilizando as ferramentas e funções do Excel que achar convenientes, obtenha a informação necessária para completar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4.4.1. </a:t>
          </a:r>
          <a:r>
            <a:rPr lang="pt-PT" sz="1200" b="0" i="0" u="none" strike="noStrike" baseline="0">
              <a:latin typeface="+mn-lt"/>
            </a:rPr>
            <a:t>O número médio de peças de fruta consumido diariamente é __________ .</a:t>
          </a:r>
        </a:p>
        <a:p>
          <a:pPr algn="l"/>
          <a:r>
            <a:rPr lang="pt-PT" sz="1200" b="1" i="0" u="none" strike="noStrike" baseline="0">
              <a:latin typeface="+mn-lt"/>
            </a:rPr>
            <a:t>4.4.2.</a:t>
          </a:r>
          <a:r>
            <a:rPr lang="pt-PT" sz="1200" b="0" i="0" u="none" strike="noStrike" baseline="0">
              <a:latin typeface="+mn-lt"/>
            </a:rPr>
            <a:t> O valor do desvio padrão, com aproximação às centésimas é __________ .</a:t>
          </a:r>
        </a:p>
        <a:p>
          <a:pPr algn="l"/>
          <a:r>
            <a:rPr lang="pt-PT" sz="1200" b="1" i="0" u="none" strike="noStrike" baseline="0">
              <a:latin typeface="+mn-lt"/>
            </a:rPr>
            <a:t>4.4.3. </a:t>
          </a:r>
          <a:r>
            <a:rPr lang="pt-PT" sz="1200" b="0" i="0" u="none" strike="noStrike" baseline="0">
              <a:latin typeface="+mn-lt"/>
            </a:rPr>
            <a:t>O número máximo de peças de fruta consumido diariamente pelo grupo dos 50% que menos peças de fruta consome é __________ 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6</xdr:col>
      <xdr:colOff>626268</xdr:colOff>
      <xdr:row>27</xdr:row>
      <xdr:rowOff>23812</xdr:rowOff>
    </xdr:from>
    <xdr:to>
      <xdr:col>14</xdr:col>
      <xdr:colOff>16668</xdr:colOff>
      <xdr:row>42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603FB1-3FAA-59C6-28AF-EC49FA695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150018</xdr:colOff>
      <xdr:row>27</xdr:row>
      <xdr:rowOff>52387</xdr:rowOff>
    </xdr:from>
    <xdr:to>
      <xdr:col>21</xdr:col>
      <xdr:colOff>188118</xdr:colOff>
      <xdr:row>42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5E8E00-2164-6525-EB83-5C805F3E2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640556</xdr:colOff>
      <xdr:row>43</xdr:row>
      <xdr:rowOff>4762</xdr:rowOff>
    </xdr:from>
    <xdr:to>
      <xdr:col>14</xdr:col>
      <xdr:colOff>30956</xdr:colOff>
      <xdr:row>58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E6411B-5686-A71B-4A69-580B84059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154780</xdr:colOff>
      <xdr:row>43</xdr:row>
      <xdr:rowOff>23812</xdr:rowOff>
    </xdr:from>
    <xdr:to>
      <xdr:col>21</xdr:col>
      <xdr:colOff>192880</xdr:colOff>
      <xdr:row>58</xdr:row>
      <xdr:rowOff>52387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AA43AE6-AE9C-5460-2E00-6249427F4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57150</xdr:rowOff>
    </xdr:from>
    <xdr:to>
      <xdr:col>14</xdr:col>
      <xdr:colOff>43037</xdr:colOff>
      <xdr:row>7</xdr:row>
      <xdr:rowOff>57150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130A5BE-0823-4967-B724-076663E81E84}"/>
            </a:ext>
          </a:extLst>
        </xdr:cNvPr>
        <xdr:cNvSpPr txBox="1"/>
      </xdr:nvSpPr>
      <xdr:spPr>
        <a:xfrm>
          <a:off x="47625" y="57150"/>
          <a:ext cx="8529812" cy="1333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5</a:t>
          </a:r>
        </a:p>
        <a:p>
          <a:pPr algn="l"/>
          <a:r>
            <a:rPr lang="pt-PT" sz="1200" b="0" i="0" u="none" strike="noStrike" baseline="0">
              <a:latin typeface="+mn-lt"/>
            </a:rPr>
            <a:t>Registou-se o comprimento dos parafusos que se encontram numa caixa, tendo sido obtidos os valores que constam na</a:t>
          </a:r>
        </a:p>
        <a:p>
          <a:pPr algn="l"/>
          <a:r>
            <a:rPr lang="pt-PT" sz="1200" b="0" i="0" u="none" strike="noStrike" baseline="0">
              <a:latin typeface="+mn-lt"/>
            </a:rPr>
            <a:t>amostra.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5.1</a:t>
          </a:r>
          <a:r>
            <a:rPr lang="pt-PT" sz="1200" b="0" i="0" u="none" strike="noStrike" baseline="0">
              <a:latin typeface="+mn-lt"/>
            </a:rPr>
            <a:t>. </a:t>
          </a:r>
          <a:r>
            <a:rPr lang="pt-PT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Defina e classifique a variável em estudo.</a:t>
          </a:r>
          <a:endParaRPr lang="pt-PT" sz="1200">
            <a:effectLst/>
            <a:latin typeface="+mn-lt"/>
          </a:endParaRPr>
        </a:p>
        <a:p>
          <a:pPr algn="l"/>
          <a:r>
            <a:rPr lang="pt-PT" sz="1200" b="1" i="0" u="none" strike="noStrike" baseline="0">
              <a:latin typeface="+mn-lt"/>
            </a:rPr>
            <a:t>5.2.</a:t>
          </a:r>
          <a:r>
            <a:rPr lang="pt-PT" sz="1200" b="0" i="0" u="none" strike="noStrike" baseline="0">
              <a:latin typeface="+mn-lt"/>
            </a:rPr>
            <a:t>  Agrupe os dados em classes e construa uma tabela de frequências absolutas e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5.3. </a:t>
          </a:r>
          <a:r>
            <a:rPr lang="pt-PT" sz="1200" b="0" i="0" u="none" strike="noStrike" baseline="0">
              <a:latin typeface="+mn-lt"/>
            </a:rPr>
            <a:t>Construa um histograma de frequências relativas.</a:t>
          </a:r>
          <a:endParaRPr lang="pt-PT" sz="1200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2</xdr:col>
      <xdr:colOff>379169</xdr:colOff>
      <xdr:row>32</xdr:row>
      <xdr:rowOff>15019</xdr:rowOff>
    </xdr:from>
    <xdr:to>
      <xdr:col>9</xdr:col>
      <xdr:colOff>214312</xdr:colOff>
      <xdr:row>47</xdr:row>
      <xdr:rowOff>65575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3D4FC3-20F2-B428-AD15-7B35895CA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347327</xdr:colOff>
      <xdr:row>11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9645B7B-8FC1-4162-B232-4E8560622380}"/>
            </a:ext>
          </a:extLst>
        </xdr:cNvPr>
        <xdr:cNvSpPr txBox="1"/>
      </xdr:nvSpPr>
      <xdr:spPr>
        <a:xfrm>
          <a:off x="0" y="0"/>
          <a:ext cx="9234152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6</a:t>
          </a:r>
        </a:p>
        <a:p>
          <a:pPr algn="l"/>
          <a:r>
            <a:rPr lang="pt-PT" sz="1200"/>
            <a:t>No sentido de analisar os tempos de deslocação dos estudantes, questionaram-se os alunos da ESTGA sobre o tempo (em minutos) que demoram diariamente no percurso casa–escola.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6.2.</a:t>
          </a:r>
          <a:r>
            <a:rPr lang="pt-PT" sz="1200" b="0" i="0" u="none" strike="noStrike" baseline="0">
              <a:latin typeface="+mn-lt"/>
            </a:rPr>
            <a:t> Agrupe os dados em classes usando a regra de Sturges e contrua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6.3.</a:t>
          </a:r>
          <a:r>
            <a:rPr lang="pt-PT" sz="1200" b="0" i="0" u="none" strike="noStrike" baseline="0">
              <a:latin typeface="+mn-lt"/>
            </a:rPr>
            <a:t> Construa um histograma utilizando as frequências relativas</a:t>
          </a:r>
        </a:p>
        <a:p>
          <a:pPr algn="l"/>
          <a:r>
            <a:rPr lang="pt-PT" sz="1200" b="1" i="0" u="none" strike="noStrike" baseline="0">
              <a:latin typeface="+mn-lt"/>
            </a:rPr>
            <a:t>6.4. </a:t>
          </a:r>
          <a:r>
            <a:rPr lang="pt-PT" sz="1200" b="0" i="0" u="none" strike="noStrike" baseline="0">
              <a:latin typeface="+mn-lt"/>
            </a:rPr>
            <a:t>Calcule a média  e a mediana e faça uma interpretação desses resultados.</a:t>
          </a:r>
        </a:p>
        <a:p>
          <a:pPr algn="l"/>
          <a:r>
            <a:rPr lang="pt-PT" sz="1200" b="1" i="0" u="none" strike="noStrike" baseline="0">
              <a:latin typeface="+mn-lt"/>
            </a:rPr>
            <a:t>6.5.</a:t>
          </a:r>
          <a:r>
            <a:rPr lang="pt-PT" sz="1200" b="0" i="0" u="none" strike="noStrike" baseline="0">
              <a:latin typeface="+mn-lt"/>
            </a:rPr>
            <a:t> Calcule a amplitude da amostra, variância e o desvio padrão. </a:t>
          </a:r>
        </a:p>
        <a:p>
          <a:pPr algn="l"/>
          <a:r>
            <a:rPr lang="pt-PT" sz="1200" b="1" i="0" u="none" strike="noStrike" baseline="0">
              <a:latin typeface="+mn-lt"/>
            </a:rPr>
            <a:t>6.6. </a:t>
          </a:r>
          <a:r>
            <a:rPr lang="pt-PT" sz="1200" b="0" i="0" u="none" strike="noStrike" baseline="0">
              <a:latin typeface="+mn-lt"/>
            </a:rPr>
            <a:t>Calcule a percentagem de alunos que demora mais do que 20 minutos no percurso casa-escola.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3</xdr:col>
      <xdr:colOff>6212</xdr:colOff>
      <xdr:row>42</xdr:row>
      <xdr:rowOff>28161</xdr:rowOff>
    </xdr:from>
    <xdr:to>
      <xdr:col>9</xdr:col>
      <xdr:colOff>598418</xdr:colOff>
      <xdr:row>57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7FC86D-751D-8460-9F11-49BA45595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90152</xdr:colOff>
      <xdr:row>13</xdr:row>
      <xdr:rowOff>104775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381C4B6-47E6-4B03-A823-8F2E21ED54BF}"/>
            </a:ext>
          </a:extLst>
        </xdr:cNvPr>
        <xdr:cNvSpPr txBox="1"/>
      </xdr:nvSpPr>
      <xdr:spPr>
        <a:xfrm>
          <a:off x="0" y="0"/>
          <a:ext cx="9234152" cy="2581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9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No âmbito de um estudo sobre a utilização de serviços bancários, recolheram-se dados relativos ao </a:t>
          </a:r>
          <a:r>
            <a:rPr lang="pt-PT" sz="1200" b="1"/>
            <a:t>tempo decorrido entre duas chegadas consecutivas</a:t>
          </a:r>
          <a:r>
            <a:rPr lang="pt-PT" sz="1200"/>
            <a:t> de utilizadores a um terminal de multibanco. O objetivo é analisar o padrão de afluência ao equipamento e verificar se existe regularidade ou variabilidade significativa nos tempos de espera. Os valores registados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9.2.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9.3.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9.3.1 </a:t>
          </a:r>
          <a:r>
            <a:rPr lang="pt-PT" sz="1200" b="0" i="0" u="none" strike="noStrike" baseline="0">
              <a:latin typeface="+mn-lt"/>
            </a:rPr>
            <a:t>O tempo de chegada entre duas pessoas consecutivas a uma caixa de multibanco varia entre __________ 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9.3.2 </a:t>
          </a:r>
          <a:r>
            <a:rPr lang="pt-PT" sz="1200" b="0" i="0" u="none" strike="noStrike" baseline="0">
              <a:latin typeface="+mn-lt"/>
            </a:rPr>
            <a:t>O tempo médio de chegada é __________, sendo o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9.3.3</a:t>
          </a:r>
          <a:r>
            <a:rPr lang="pt-PT" sz="1200" b="0" i="0" u="none" strike="noStrike" baseline="0">
              <a:latin typeface="+mn-lt"/>
            </a:rPr>
            <a:t> A amplitude dos valores da amostra é __________ e o desvio padrão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9.3.4</a:t>
          </a:r>
          <a:r>
            <a:rPr lang="pt-PT" sz="1200" b="0" i="0" u="none" strike="noStrike" baseline="0">
              <a:latin typeface="+mn-lt"/>
            </a:rPr>
            <a:t> A percentagem de tempos inferiores a 2 minutos é de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3</xdr:col>
      <xdr:colOff>22775</xdr:colOff>
      <xdr:row>38</xdr:row>
      <xdr:rowOff>15737</xdr:rowOff>
    </xdr:from>
    <xdr:to>
      <xdr:col>10</xdr:col>
      <xdr:colOff>72471</xdr:colOff>
      <xdr:row>53</xdr:row>
      <xdr:rowOff>25676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7E9C2E-A2AE-8800-2335-623972F7F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90152</xdr:colOff>
      <xdr:row>11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DEE16EE-79A3-4F55-AF78-B941BD666214}"/>
            </a:ext>
          </a:extLst>
        </xdr:cNvPr>
        <xdr:cNvSpPr txBox="1"/>
      </xdr:nvSpPr>
      <xdr:spPr>
        <a:xfrm>
          <a:off x="0" y="0"/>
          <a:ext cx="9234152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8</a:t>
          </a:r>
        </a:p>
        <a:p>
          <a:pPr algn="l"/>
          <a:r>
            <a:rPr lang="pt-PT" sz="1200"/>
            <a:t>No âmbito de um estudo sobre a realidade familiar dos estudantes, recolheram-se dados relativos ao </a:t>
          </a:r>
          <a:r>
            <a:rPr lang="pt-PT" sz="1200" b="1"/>
            <a:t>número de irmãos</a:t>
          </a:r>
          <a:r>
            <a:rPr lang="pt-PT" sz="1200"/>
            <a:t> dos alunos da ESTGA. 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8.2.</a:t>
          </a:r>
          <a:r>
            <a:rPr lang="pt-PT" sz="1200" b="0" i="0" u="none" strike="noStrike" baseline="0">
              <a:latin typeface="+mn-lt"/>
            </a:rPr>
            <a:t> Elabore uma tabela de frequências absolutas e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8.3.</a:t>
          </a:r>
          <a:r>
            <a:rPr lang="pt-PT" sz="1200" b="0" i="0" u="none" strike="noStrike" baseline="0">
              <a:latin typeface="+mn-lt"/>
            </a:rPr>
            <a:t> Construa um gráfico de barras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8.4. </a:t>
          </a:r>
          <a:r>
            <a:rPr lang="pt-PT" sz="1200" b="0" i="0" u="none" strike="noStrike" baseline="0">
              <a:latin typeface="+mn-lt"/>
            </a:rPr>
            <a:t>Determine:</a:t>
          </a:r>
        </a:p>
        <a:p>
          <a:pPr algn="l"/>
          <a:r>
            <a:rPr lang="pt-PT" sz="1200" b="1" i="0" u="none" strike="noStrike" baseline="0">
              <a:latin typeface="+mn-lt"/>
            </a:rPr>
            <a:t>8.4.1</a:t>
          </a:r>
          <a:r>
            <a:rPr lang="pt-PT" sz="1200" b="0" i="0" u="none" strike="noStrike" baseline="0">
              <a:latin typeface="+mn-lt"/>
            </a:rPr>
            <a:t> a média, a mediana e a moda da amostra.</a:t>
          </a:r>
        </a:p>
        <a:p>
          <a:pPr algn="l"/>
          <a:r>
            <a:rPr lang="pt-PT" sz="1200" b="1" i="0" u="none" strike="noStrike" baseline="0">
              <a:latin typeface="+mn-lt"/>
            </a:rPr>
            <a:t>8.4.2</a:t>
          </a:r>
          <a:r>
            <a:rPr lang="pt-PT" sz="1200" b="0" i="0" u="none" strike="noStrike" baseline="0">
              <a:latin typeface="+mn-lt"/>
            </a:rPr>
            <a:t> a amplitude da amostra, variância, desvio padrão e coeficiente de variação da amostra.</a:t>
          </a:r>
        </a:p>
        <a:p>
          <a:pPr algn="l"/>
          <a:r>
            <a:rPr lang="pt-PT" sz="1200" b="1" i="0" u="none" strike="noStrike" baseline="0">
              <a:latin typeface="+mn-lt"/>
            </a:rPr>
            <a:t>8.4.3 </a:t>
          </a:r>
          <a:r>
            <a:rPr lang="pt-PT" sz="1200" b="0" i="0" u="none" strike="noStrike" baseline="0">
              <a:latin typeface="+mn-lt"/>
            </a:rPr>
            <a:t>a percentagem de alunos que têm menos de 2 irmãos.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4</xdr:col>
      <xdr:colOff>313713</xdr:colOff>
      <xdr:row>25</xdr:row>
      <xdr:rowOff>13457</xdr:rowOff>
    </xdr:from>
    <xdr:to>
      <xdr:col>11</xdr:col>
      <xdr:colOff>359154</xdr:colOff>
      <xdr:row>40</xdr:row>
      <xdr:rowOff>69559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3A211F-4921-14C8-6D39-B9F8C9357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414002</xdr:colOff>
      <xdr:row>11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2AE9C22-2DFD-456F-B77A-F10719132B8D}"/>
            </a:ext>
          </a:extLst>
        </xdr:cNvPr>
        <xdr:cNvSpPr txBox="1"/>
      </xdr:nvSpPr>
      <xdr:spPr>
        <a:xfrm>
          <a:off x="0" y="0"/>
          <a:ext cx="9558002" cy="21812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No âmbito de um estudo sobre características físicas da população estudantil, recolheram-se dados relativos às </a:t>
          </a:r>
          <a:r>
            <a:rPr lang="pt-PT" sz="1200" b="1"/>
            <a:t>alturas dos alunos da ESTGA</a:t>
          </a:r>
          <a:r>
            <a:rPr lang="pt-PT" sz="1200"/>
            <a:t>. O objetivo é analisar a distribuição das alturas, avaliar a variabilidade entre os estudantes e identificar possíveis padrões. Os valores registados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9.2.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9.3.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9.3.1 </a:t>
          </a:r>
          <a:r>
            <a:rPr lang="pt-PT" sz="1200" b="0" i="0" u="none" strike="noStrike" baseline="0">
              <a:latin typeface="+mn-lt"/>
            </a:rPr>
            <a:t>A altura dos alunos varia entre __________ 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9.3.2 </a:t>
          </a:r>
          <a:r>
            <a:rPr lang="pt-PT" sz="1200" b="0" i="0" u="none" strike="noStrike" baseline="0">
              <a:latin typeface="+mn-lt"/>
            </a:rPr>
            <a:t>A altura média dos alunos é __________, sendo a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9.3.3</a:t>
          </a:r>
          <a:r>
            <a:rPr lang="pt-PT" sz="1200" b="0" i="0" u="none" strike="noStrike" baseline="0">
              <a:latin typeface="+mn-lt"/>
            </a:rPr>
            <a:t> A amplitude dos valores da amostra é __________ e o desvio padrão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9.3.4</a:t>
          </a:r>
          <a:r>
            <a:rPr lang="pt-PT" sz="1200" b="0" i="0" u="none" strike="noStrike" baseline="0">
              <a:latin typeface="+mn-lt"/>
            </a:rPr>
            <a:t> A altura mínima de um aluno que pertence ao grupo dos 50% mais altos é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3</xdr:col>
      <xdr:colOff>358222</xdr:colOff>
      <xdr:row>36</xdr:row>
      <xdr:rowOff>28161</xdr:rowOff>
    </xdr:from>
    <xdr:to>
      <xdr:col>10</xdr:col>
      <xdr:colOff>407917</xdr:colOff>
      <xdr:row>51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95794E-B3A6-97A5-DEBC-1DEA092D5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121611</xdr:colOff>
      <xdr:row>8</xdr:row>
      <xdr:rowOff>38100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408BD7C-53BD-4145-94A9-BC0A56C9F3AB}"/>
            </a:ext>
          </a:extLst>
        </xdr:cNvPr>
        <xdr:cNvSpPr txBox="1"/>
      </xdr:nvSpPr>
      <xdr:spPr>
        <a:xfrm>
          <a:off x="0" y="0"/>
          <a:ext cx="9265611" cy="15621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10</a:t>
          </a:r>
        </a:p>
        <a:p>
          <a:pPr algn="l"/>
          <a:r>
            <a:rPr lang="pt-PT" sz="1200"/>
            <a:t>Durante o desenvolvimento de um projeto de software foram registados o número de linhas de código adicionadas por 40 programadores em diferentes dias de trabalho.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 e elabore uma tabela de frequências.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10.2.</a:t>
          </a:r>
          <a:r>
            <a:rPr lang="pt-PT" sz="1200" b="0" i="0" u="none" strike="noStrike" baseline="0">
              <a:latin typeface="+mn-lt"/>
            </a:rPr>
            <a:t> Determine a média e o desvio padrão da amostra do número de linhas de código adicionadas. Apresente os valores arredondados às décimas.</a:t>
          </a:r>
        </a:p>
        <a:p>
          <a:pPr algn="l"/>
          <a:r>
            <a:rPr lang="pt-PT" sz="1200" b="1" i="0" u="none" strike="noStrike" baseline="0">
              <a:latin typeface="+mn-lt"/>
            </a:rPr>
            <a:t>10.3.</a:t>
          </a:r>
          <a:r>
            <a:rPr lang="pt-PT" sz="1200" b="0" i="0" u="none" strike="noStrike" baseline="0">
              <a:latin typeface="+mn-lt"/>
            </a:rPr>
            <a:t> Qual a percentagem de programadores que acrescentou no máximo 25 linhas?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454823</xdr:colOff>
      <xdr:row>11</xdr:row>
      <xdr:rowOff>99332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8394112-E4CF-45DE-AE2B-81E09F0D1F5D}"/>
            </a:ext>
          </a:extLst>
        </xdr:cNvPr>
        <xdr:cNvSpPr txBox="1"/>
      </xdr:nvSpPr>
      <xdr:spPr>
        <a:xfrm>
          <a:off x="0" y="0"/>
          <a:ext cx="9598823" cy="2194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Uma empresa de cibersegurança registou os tempos de resposta (em milissegundos) de um sistema de defesa contra ataques DDoS ao longo de 150 incidentes. Os tempos de resposta medidos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11.2.</a:t>
          </a:r>
          <a:r>
            <a:rPr lang="pt-PT" sz="1200" b="0" i="0" u="none" strike="noStrike" baseline="0">
              <a:latin typeface="+mn-lt"/>
            </a:rPr>
            <a:t> Construa um histograma utilizando as frequências absolutas.</a:t>
          </a:r>
        </a:p>
        <a:p>
          <a:pPr algn="l"/>
          <a:r>
            <a:rPr lang="pt-PT" sz="1200" b="1" i="0" u="none" strike="noStrike" baseline="0">
              <a:latin typeface="+mn-lt"/>
            </a:rPr>
            <a:t>11.3.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11.3.1 </a:t>
          </a:r>
          <a:r>
            <a:rPr lang="pt-PT" sz="1200" b="0" i="0" u="none" strike="noStrike" baseline="0">
              <a:latin typeface="+mn-lt"/>
            </a:rPr>
            <a:t>O tempo de resposta do sistema de defesa  varia entre __________ e __________, sendo a amplitude dos valores da amostra __________ ..</a:t>
          </a:r>
        </a:p>
        <a:p>
          <a:pPr algn="l"/>
          <a:r>
            <a:rPr lang="pt-PT" sz="1200" b="1" i="0" u="none" strike="noStrike" baseline="0">
              <a:latin typeface="+mn-lt"/>
            </a:rPr>
            <a:t>11.3.2 </a:t>
          </a:r>
          <a:r>
            <a:rPr lang="pt-PT" sz="1200" b="0" i="0" u="none" strike="noStrike" baseline="0">
              <a:latin typeface="+mn-lt"/>
            </a:rPr>
            <a:t>O tempo médio de resposta é __________, sendo o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11.3.3</a:t>
          </a:r>
          <a:r>
            <a:rPr lang="pt-PT" sz="1200" b="0" i="0" u="none" strike="noStrike" baseline="0">
              <a:latin typeface="+mn-lt"/>
            </a:rPr>
            <a:t>  O tempo máximo de resposta que pertence ao grupo dos 50% mais rápidos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11.3.4</a:t>
          </a:r>
          <a:r>
            <a:rPr lang="pt-PT" sz="1200" b="0" i="0" u="none" strike="noStrike" baseline="0">
              <a:latin typeface="+mn-lt"/>
            </a:rPr>
            <a:t>. A variância e o desvio padrão amostral são respetivamente, __________ e 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11.3.5</a:t>
          </a:r>
          <a:r>
            <a:rPr lang="pt-PT" sz="1200" b="0" i="0" u="none" strike="noStrike" baseline="0">
              <a:latin typeface="+mn-lt"/>
            </a:rPr>
            <a:t> A percentagem de tempos inferiores a 140 mlissegundos  é de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4</xdr:col>
      <xdr:colOff>30956</xdr:colOff>
      <xdr:row>38</xdr:row>
      <xdr:rowOff>28575</xdr:rowOff>
    </xdr:from>
    <xdr:to>
      <xdr:col>11</xdr:col>
      <xdr:colOff>69056</xdr:colOff>
      <xdr:row>53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DF7A16-F767-6039-AC6E-37FD1D482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454823</xdr:colOff>
      <xdr:row>11</xdr:row>
      <xdr:rowOff>99332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B04AE0E-9FCC-4A4D-85D9-EE916ADC9B29}"/>
            </a:ext>
          </a:extLst>
        </xdr:cNvPr>
        <xdr:cNvSpPr txBox="1"/>
      </xdr:nvSpPr>
      <xdr:spPr>
        <a:xfrm>
          <a:off x="0" y="0"/>
          <a:ext cx="9598823" cy="2194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12</a:t>
          </a:r>
        </a:p>
        <a:p>
          <a:r>
            <a:rPr lang="pt-PT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Com um objetivo de realizar um estudo sobre o tempo (em minutos) dedicado pelos alunos da ESTGA ao estudo semanal da unidade de MQI foram recolhidos os dados de uma amostra aleatória de dimensão 120, que se encontram</a:t>
          </a:r>
          <a:r>
            <a:rPr lang="pt-PT" sz="1200"/>
            <a:t> registados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12.2.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12.3.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12.3.1 </a:t>
          </a:r>
          <a:r>
            <a:rPr lang="pt-PT" sz="1200" b="0" i="0" u="none" strike="noStrike" baseline="0">
              <a:latin typeface="+mn-lt"/>
            </a:rPr>
            <a:t>O tempo médio de estudo semanal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12.3.2</a:t>
          </a:r>
          <a:r>
            <a:rPr lang="pt-PT" sz="1200" b="0" i="0" u="none" strike="noStrike" baseline="0">
              <a:latin typeface="+mn-lt"/>
            </a:rPr>
            <a:t>  O tempo mínimo de estudo semanal que pertence ao grupo dos 50% que mais tempo dedica ao estudo de MQI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12.3.3</a:t>
          </a:r>
          <a:r>
            <a:rPr lang="pt-PT" sz="1200" b="0" i="0" u="none" strike="noStrike" baseline="0">
              <a:latin typeface="+mn-lt"/>
            </a:rPr>
            <a:t>. A variância e o desvio padrão amostral são respetivamente, __________ e 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12.4. </a:t>
          </a:r>
          <a:r>
            <a:rPr lang="pt-PT" sz="1200" b="0" i="0" u="none" strike="noStrike" baseline="0">
              <a:latin typeface="+mn-lt"/>
            </a:rPr>
            <a:t>A unidade de MQI tem 6 ECTS o que significa que o estudante deve trabalhar semanalmente, fora das aulas, cerca de 3,2 horas. Determine a percentagem de alunos que trabalha menos do que deveria.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2</xdr:col>
      <xdr:colOff>421822</xdr:colOff>
      <xdr:row>38</xdr:row>
      <xdr:rowOff>23132</xdr:rowOff>
    </xdr:from>
    <xdr:to>
      <xdr:col>9</xdr:col>
      <xdr:colOff>453571</xdr:colOff>
      <xdr:row>53</xdr:row>
      <xdr:rowOff>44904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B02524-772E-71EE-C643-26D0B873D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8E43-D323-46C2-AD0B-9F269DDC102A}">
  <dimension ref="A13:J37"/>
  <sheetViews>
    <sheetView zoomScale="99" workbookViewId="0">
      <selection activeCell="G26" sqref="G26"/>
    </sheetView>
  </sheetViews>
  <sheetFormatPr defaultRowHeight="14.25" x14ac:dyDescent="0.45"/>
  <cols>
    <col min="4" max="4" width="19" customWidth="1"/>
    <col min="5" max="5" width="17.265625" customWidth="1"/>
    <col min="6" max="6" width="28.73046875" customWidth="1"/>
    <col min="7" max="7" width="28.1328125" customWidth="1"/>
  </cols>
  <sheetData>
    <row r="13" spans="1:7" x14ac:dyDescent="0.45">
      <c r="A13" s="1" t="s">
        <v>0</v>
      </c>
      <c r="G13" t="s">
        <v>6</v>
      </c>
    </row>
    <row r="14" spans="1:7" x14ac:dyDescent="0.45">
      <c r="A14" s="2" t="s">
        <v>1</v>
      </c>
      <c r="G14" t="s">
        <v>7</v>
      </c>
    </row>
    <row r="15" spans="1:7" x14ac:dyDescent="0.45">
      <c r="A15" s="2" t="s">
        <v>2</v>
      </c>
    </row>
    <row r="16" spans="1:7" x14ac:dyDescent="0.45">
      <c r="A16" s="2" t="s">
        <v>2</v>
      </c>
      <c r="G16" t="s">
        <v>8</v>
      </c>
    </row>
    <row r="17" spans="1:10" x14ac:dyDescent="0.45">
      <c r="A17" s="2" t="s">
        <v>3</v>
      </c>
      <c r="C17" s="1"/>
      <c r="D17" s="1"/>
      <c r="E17" s="1"/>
      <c r="G17">
        <f>COUNTA(A14:A37)</f>
        <v>24</v>
      </c>
    </row>
    <row r="18" spans="1:10" x14ac:dyDescent="0.45">
      <c r="A18" s="2" t="s">
        <v>2</v>
      </c>
      <c r="C18" s="10"/>
      <c r="D18" s="10"/>
      <c r="H18" t="s">
        <v>9</v>
      </c>
    </row>
    <row r="19" spans="1:10" x14ac:dyDescent="0.45">
      <c r="A19" s="2" t="s">
        <v>4</v>
      </c>
      <c r="C19" s="11"/>
      <c r="D19" s="3"/>
      <c r="E19" s="12"/>
      <c r="H19" t="s">
        <v>10</v>
      </c>
      <c r="I19" t="s">
        <v>11</v>
      </c>
      <c r="J19" t="s">
        <v>12</v>
      </c>
    </row>
    <row r="20" spans="1:10" x14ac:dyDescent="0.45">
      <c r="A20" s="2" t="s">
        <v>1</v>
      </c>
      <c r="C20" s="11"/>
      <c r="D20" s="3"/>
      <c r="E20" s="12"/>
      <c r="H20" t="s">
        <v>1</v>
      </c>
      <c r="I20">
        <f>COUNTIF($A$14:$A$37,H20)</f>
        <v>9</v>
      </c>
      <c r="J20" s="7">
        <f>I20/24</f>
        <v>0.375</v>
      </c>
    </row>
    <row r="21" spans="1:10" x14ac:dyDescent="0.45">
      <c r="A21" s="2" t="s">
        <v>1</v>
      </c>
      <c r="C21" s="11"/>
      <c r="D21" s="3"/>
      <c r="E21" s="12"/>
      <c r="H21" t="s">
        <v>2</v>
      </c>
      <c r="I21">
        <f t="shared" ref="I21:I23" si="0">COUNTIF($A$14:$A$37,H21)</f>
        <v>6</v>
      </c>
      <c r="J21" s="7">
        <f t="shared" ref="J21:J23" si="1">I21/24</f>
        <v>0.25</v>
      </c>
    </row>
    <row r="22" spans="1:10" x14ac:dyDescent="0.45">
      <c r="A22" s="2" t="s">
        <v>1</v>
      </c>
      <c r="C22" s="11"/>
      <c r="D22" s="3"/>
      <c r="E22" s="12"/>
      <c r="H22" t="s">
        <v>3</v>
      </c>
      <c r="I22">
        <f t="shared" si="0"/>
        <v>6</v>
      </c>
      <c r="J22" s="7">
        <f t="shared" si="1"/>
        <v>0.25</v>
      </c>
    </row>
    <row r="23" spans="1:10" x14ac:dyDescent="0.45">
      <c r="A23" s="2" t="s">
        <v>3</v>
      </c>
      <c r="C23" s="5"/>
      <c r="D23" s="3"/>
      <c r="E23" s="4"/>
      <c r="H23" t="s">
        <v>4</v>
      </c>
      <c r="I23">
        <f t="shared" si="0"/>
        <v>3</v>
      </c>
      <c r="J23" s="7">
        <f t="shared" si="1"/>
        <v>0.125</v>
      </c>
    </row>
    <row r="24" spans="1:10" x14ac:dyDescent="0.45">
      <c r="A24" s="2" t="s">
        <v>3</v>
      </c>
      <c r="C24" s="3"/>
      <c r="D24" s="3"/>
      <c r="E24" s="4"/>
      <c r="I24">
        <f>SUM(I20:I23)</f>
        <v>24</v>
      </c>
    </row>
    <row r="25" spans="1:10" x14ac:dyDescent="0.45">
      <c r="A25" s="2" t="s">
        <v>2</v>
      </c>
      <c r="C25" s="5"/>
      <c r="D25" s="3"/>
      <c r="E25" s="3"/>
      <c r="G25" t="s">
        <v>13</v>
      </c>
    </row>
    <row r="26" spans="1:10" x14ac:dyDescent="0.45">
      <c r="A26" s="2" t="s">
        <v>3</v>
      </c>
      <c r="D26" s="13"/>
      <c r="G26" t="s">
        <v>14</v>
      </c>
    </row>
    <row r="27" spans="1:10" x14ac:dyDescent="0.45">
      <c r="A27" s="2" t="s">
        <v>4</v>
      </c>
    </row>
    <row r="28" spans="1:10" x14ac:dyDescent="0.45">
      <c r="A28" s="2" t="s">
        <v>2</v>
      </c>
      <c r="G28" t="s">
        <v>15</v>
      </c>
    </row>
    <row r="29" spans="1:10" x14ac:dyDescent="0.45">
      <c r="A29" s="2" t="s">
        <v>3</v>
      </c>
      <c r="G29" t="s">
        <v>16</v>
      </c>
    </row>
    <row r="30" spans="1:10" x14ac:dyDescent="0.45">
      <c r="A30" s="2" t="s">
        <v>3</v>
      </c>
    </row>
    <row r="31" spans="1:10" x14ac:dyDescent="0.45">
      <c r="A31" s="2" t="s">
        <v>2</v>
      </c>
    </row>
    <row r="32" spans="1:10" x14ac:dyDescent="0.45">
      <c r="A32" s="2" t="s">
        <v>1</v>
      </c>
    </row>
    <row r="33" spans="1:1" x14ac:dyDescent="0.45">
      <c r="A33" s="2" t="s">
        <v>1</v>
      </c>
    </row>
    <row r="34" spans="1:1" x14ac:dyDescent="0.45">
      <c r="A34" s="2" t="s">
        <v>1</v>
      </c>
    </row>
    <row r="35" spans="1:1" x14ac:dyDescent="0.45">
      <c r="A35" s="2" t="s">
        <v>1</v>
      </c>
    </row>
    <row r="36" spans="1:1" x14ac:dyDescent="0.45">
      <c r="A36" s="2" t="s">
        <v>1</v>
      </c>
    </row>
    <row r="37" spans="1:1" x14ac:dyDescent="0.45">
      <c r="A37" s="2" t="s">
        <v>4</v>
      </c>
    </row>
  </sheetData>
  <autoFilter ref="A14:A37" xr:uid="{5CB98E43-D323-46C2-AD0B-9F269DDC102A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6696-3815-46F8-BB95-760E690D4FE4}">
  <dimension ref="A15:M115"/>
  <sheetViews>
    <sheetView topLeftCell="A55" zoomScaleNormal="100" workbookViewId="0">
      <selection activeCell="I79" sqref="I79"/>
    </sheetView>
  </sheetViews>
  <sheetFormatPr defaultRowHeight="14.25" x14ac:dyDescent="0.45"/>
  <cols>
    <col min="1" max="1" width="10.73046875" customWidth="1"/>
    <col min="9" max="9" width="9.265625" bestFit="1" customWidth="1"/>
  </cols>
  <sheetData>
    <row r="15" spans="1:4" x14ac:dyDescent="0.45">
      <c r="A15" s="1" t="s">
        <v>0</v>
      </c>
      <c r="D15" t="s">
        <v>47</v>
      </c>
    </row>
    <row r="16" spans="1:4" x14ac:dyDescent="0.45">
      <c r="A16">
        <v>3</v>
      </c>
      <c r="D16" t="s">
        <v>46</v>
      </c>
    </row>
    <row r="17" spans="1:13" x14ac:dyDescent="0.45">
      <c r="A17">
        <v>1</v>
      </c>
    </row>
    <row r="18" spans="1:13" x14ac:dyDescent="0.45">
      <c r="A18">
        <v>0</v>
      </c>
      <c r="D18" t="s">
        <v>18</v>
      </c>
      <c r="E18" s="6"/>
      <c r="F18">
        <f>COUNT(A16:A115)</f>
        <v>100</v>
      </c>
    </row>
    <row r="19" spans="1:13" x14ac:dyDescent="0.45">
      <c r="A19">
        <v>2</v>
      </c>
      <c r="E19" s="6"/>
      <c r="G19" s="6"/>
      <c r="I19" t="s">
        <v>17</v>
      </c>
    </row>
    <row r="20" spans="1:13" x14ac:dyDescent="0.45">
      <c r="A20">
        <v>2</v>
      </c>
      <c r="E20" s="6"/>
      <c r="G20" s="6"/>
      <c r="I20" t="s">
        <v>20</v>
      </c>
    </row>
    <row r="21" spans="1:13" x14ac:dyDescent="0.45">
      <c r="A21">
        <v>2</v>
      </c>
      <c r="E21" s="6"/>
      <c r="G21" s="6"/>
      <c r="I21" t="s">
        <v>10</v>
      </c>
      <c r="J21" t="s">
        <v>11</v>
      </c>
      <c r="K21" t="s">
        <v>12</v>
      </c>
      <c r="L21" t="s">
        <v>22</v>
      </c>
      <c r="M21" t="s">
        <v>23</v>
      </c>
    </row>
    <row r="22" spans="1:13" x14ac:dyDescent="0.45">
      <c r="A22">
        <v>0</v>
      </c>
      <c r="E22" s="6"/>
      <c r="G22" s="6"/>
      <c r="I22">
        <v>0</v>
      </c>
      <c r="J22">
        <f>COUNTIF($A$16:$A$115,I22)</f>
        <v>13</v>
      </c>
      <c r="K22" s="6">
        <f>J22/100</f>
        <v>0.13</v>
      </c>
      <c r="L22">
        <f>J22</f>
        <v>13</v>
      </c>
      <c r="M22" s="7">
        <f>K22</f>
        <v>0.13</v>
      </c>
    </row>
    <row r="23" spans="1:13" x14ac:dyDescent="0.45">
      <c r="A23">
        <v>1</v>
      </c>
      <c r="E23" s="6"/>
      <c r="G23" s="6"/>
      <c r="I23">
        <v>1</v>
      </c>
      <c r="J23">
        <f t="shared" ref="J23:J28" si="0">COUNTIF($A$16:$A$115,I23)</f>
        <v>24</v>
      </c>
      <c r="K23" s="6">
        <f t="shared" ref="K23:K28" si="1">J23/100</f>
        <v>0.24</v>
      </c>
      <c r="L23">
        <f>L22+J23</f>
        <v>37</v>
      </c>
      <c r="M23" s="7">
        <f>M22+K23</f>
        <v>0.37</v>
      </c>
    </row>
    <row r="24" spans="1:13" x14ac:dyDescent="0.45">
      <c r="A24">
        <v>5</v>
      </c>
      <c r="E24" s="6"/>
      <c r="G24" s="6"/>
      <c r="I24">
        <v>2</v>
      </c>
      <c r="J24">
        <f t="shared" si="0"/>
        <v>22</v>
      </c>
      <c r="K24" s="6">
        <f t="shared" si="1"/>
        <v>0.22</v>
      </c>
      <c r="L24">
        <f t="shared" ref="L24:L28" si="2">L23+J24</f>
        <v>59</v>
      </c>
      <c r="M24" s="7">
        <f t="shared" ref="M24:M28" si="3">M23+K24</f>
        <v>0.59</v>
      </c>
    </row>
    <row r="25" spans="1:13" x14ac:dyDescent="0.45">
      <c r="A25">
        <v>2</v>
      </c>
      <c r="I25">
        <v>3</v>
      </c>
      <c r="J25">
        <f t="shared" si="0"/>
        <v>14</v>
      </c>
      <c r="K25" s="6">
        <f t="shared" si="1"/>
        <v>0.14000000000000001</v>
      </c>
      <c r="L25">
        <f t="shared" si="2"/>
        <v>73</v>
      </c>
      <c r="M25" s="7">
        <f t="shared" si="3"/>
        <v>0.73</v>
      </c>
    </row>
    <row r="26" spans="1:13" x14ac:dyDescent="0.45">
      <c r="A26">
        <v>3</v>
      </c>
      <c r="I26">
        <v>4</v>
      </c>
      <c r="J26">
        <f t="shared" si="0"/>
        <v>12</v>
      </c>
      <c r="K26" s="6">
        <f t="shared" si="1"/>
        <v>0.12</v>
      </c>
      <c r="L26">
        <f t="shared" si="2"/>
        <v>85</v>
      </c>
      <c r="M26" s="7">
        <f t="shared" si="3"/>
        <v>0.85</v>
      </c>
    </row>
    <row r="27" spans="1:13" x14ac:dyDescent="0.45">
      <c r="A27">
        <v>4</v>
      </c>
      <c r="I27">
        <v>5</v>
      </c>
      <c r="J27">
        <f t="shared" si="0"/>
        <v>11</v>
      </c>
      <c r="K27" s="6">
        <f t="shared" si="1"/>
        <v>0.11</v>
      </c>
      <c r="L27">
        <f t="shared" si="2"/>
        <v>96</v>
      </c>
      <c r="M27" s="7">
        <f t="shared" si="3"/>
        <v>0.96</v>
      </c>
    </row>
    <row r="28" spans="1:13" x14ac:dyDescent="0.45">
      <c r="A28">
        <v>0</v>
      </c>
      <c r="I28">
        <v>6</v>
      </c>
      <c r="J28">
        <f t="shared" si="0"/>
        <v>4</v>
      </c>
      <c r="K28" s="6">
        <f t="shared" si="1"/>
        <v>0.04</v>
      </c>
      <c r="L28">
        <f t="shared" si="2"/>
        <v>100</v>
      </c>
      <c r="M28" s="7">
        <f t="shared" si="3"/>
        <v>1</v>
      </c>
    </row>
    <row r="29" spans="1:13" x14ac:dyDescent="0.45">
      <c r="A29">
        <v>0</v>
      </c>
      <c r="I29" t="s">
        <v>21</v>
      </c>
      <c r="J29">
        <f>SUM(J22:J28)</f>
        <v>100</v>
      </c>
    </row>
    <row r="30" spans="1:13" x14ac:dyDescent="0.45">
      <c r="A30">
        <v>1</v>
      </c>
    </row>
    <row r="31" spans="1:13" x14ac:dyDescent="0.45">
      <c r="A31">
        <v>5</v>
      </c>
    </row>
    <row r="32" spans="1:13" x14ac:dyDescent="0.45">
      <c r="A32">
        <v>5</v>
      </c>
      <c r="H32" t="s">
        <v>24</v>
      </c>
    </row>
    <row r="33" spans="1:1" x14ac:dyDescent="0.45">
      <c r="A33">
        <v>2</v>
      </c>
    </row>
    <row r="34" spans="1:1" x14ac:dyDescent="0.45">
      <c r="A34">
        <v>3</v>
      </c>
    </row>
    <row r="35" spans="1:1" x14ac:dyDescent="0.45">
      <c r="A35">
        <v>1</v>
      </c>
    </row>
    <row r="36" spans="1:1" x14ac:dyDescent="0.45">
      <c r="A36">
        <v>6</v>
      </c>
    </row>
    <row r="37" spans="1:1" x14ac:dyDescent="0.45">
      <c r="A37">
        <v>1</v>
      </c>
    </row>
    <row r="38" spans="1:1" x14ac:dyDescent="0.45">
      <c r="A38">
        <v>2</v>
      </c>
    </row>
    <row r="39" spans="1:1" x14ac:dyDescent="0.45">
      <c r="A39">
        <v>1</v>
      </c>
    </row>
    <row r="40" spans="1:1" x14ac:dyDescent="0.45">
      <c r="A40">
        <v>0</v>
      </c>
    </row>
    <row r="41" spans="1:1" x14ac:dyDescent="0.45">
      <c r="A41">
        <v>5</v>
      </c>
    </row>
    <row r="42" spans="1:1" x14ac:dyDescent="0.45">
      <c r="A42">
        <v>3</v>
      </c>
    </row>
    <row r="43" spans="1:1" x14ac:dyDescent="0.45">
      <c r="A43">
        <v>1</v>
      </c>
    </row>
    <row r="44" spans="1:1" x14ac:dyDescent="0.45">
      <c r="A44">
        <v>2</v>
      </c>
    </row>
    <row r="45" spans="1:1" x14ac:dyDescent="0.45">
      <c r="A45">
        <v>2</v>
      </c>
    </row>
    <row r="46" spans="1:1" x14ac:dyDescent="0.45">
      <c r="A46">
        <v>3</v>
      </c>
    </row>
    <row r="47" spans="1:1" x14ac:dyDescent="0.45">
      <c r="A47">
        <v>6</v>
      </c>
    </row>
    <row r="48" spans="1:1" x14ac:dyDescent="0.45">
      <c r="A48">
        <v>1</v>
      </c>
    </row>
    <row r="49" spans="1:1" x14ac:dyDescent="0.45">
      <c r="A49">
        <v>0</v>
      </c>
    </row>
    <row r="50" spans="1:1" x14ac:dyDescent="0.45">
      <c r="A50">
        <v>1</v>
      </c>
    </row>
    <row r="51" spans="1:1" x14ac:dyDescent="0.45">
      <c r="A51">
        <v>1</v>
      </c>
    </row>
    <row r="52" spans="1:1" x14ac:dyDescent="0.45">
      <c r="A52">
        <v>2</v>
      </c>
    </row>
    <row r="53" spans="1:1" x14ac:dyDescent="0.45">
      <c r="A53">
        <v>3</v>
      </c>
    </row>
    <row r="54" spans="1:1" x14ac:dyDescent="0.45">
      <c r="A54">
        <v>3</v>
      </c>
    </row>
    <row r="55" spans="1:1" x14ac:dyDescent="0.45">
      <c r="A55">
        <v>5</v>
      </c>
    </row>
    <row r="56" spans="1:1" x14ac:dyDescent="0.45">
      <c r="A56">
        <v>0</v>
      </c>
    </row>
    <row r="57" spans="1:1" x14ac:dyDescent="0.45">
      <c r="A57">
        <v>1</v>
      </c>
    </row>
    <row r="58" spans="1:1" x14ac:dyDescent="0.45">
      <c r="A58">
        <v>3</v>
      </c>
    </row>
    <row r="59" spans="1:1" x14ac:dyDescent="0.45">
      <c r="A59">
        <v>2</v>
      </c>
    </row>
    <row r="60" spans="1:1" x14ac:dyDescent="0.45">
      <c r="A60">
        <v>5</v>
      </c>
    </row>
    <row r="61" spans="1:1" x14ac:dyDescent="0.45">
      <c r="A61">
        <v>6</v>
      </c>
    </row>
    <row r="62" spans="1:1" x14ac:dyDescent="0.45">
      <c r="A62">
        <v>1</v>
      </c>
    </row>
    <row r="63" spans="1:1" x14ac:dyDescent="0.45">
      <c r="A63">
        <v>0</v>
      </c>
    </row>
    <row r="64" spans="1:1" x14ac:dyDescent="0.45">
      <c r="A64">
        <v>1</v>
      </c>
    </row>
    <row r="65" spans="1:13" x14ac:dyDescent="0.45">
      <c r="A65">
        <v>1</v>
      </c>
    </row>
    <row r="66" spans="1:13" x14ac:dyDescent="0.45">
      <c r="A66">
        <v>4</v>
      </c>
      <c r="H66" t="s">
        <v>25</v>
      </c>
    </row>
    <row r="67" spans="1:13" x14ac:dyDescent="0.45">
      <c r="A67">
        <v>3</v>
      </c>
      <c r="H67" t="s">
        <v>26</v>
      </c>
    </row>
    <row r="68" spans="1:13" x14ac:dyDescent="0.45">
      <c r="A68">
        <v>4</v>
      </c>
      <c r="H68" t="s">
        <v>27</v>
      </c>
      <c r="J68" t="s">
        <v>28</v>
      </c>
    </row>
    <row r="69" spans="1:13" x14ac:dyDescent="0.45">
      <c r="A69">
        <v>4</v>
      </c>
      <c r="H69" t="s">
        <v>29</v>
      </c>
    </row>
    <row r="70" spans="1:13" x14ac:dyDescent="0.45">
      <c r="A70">
        <v>2</v>
      </c>
    </row>
    <row r="71" spans="1:13" x14ac:dyDescent="0.45">
      <c r="A71">
        <v>5</v>
      </c>
      <c r="H71" t="s">
        <v>64</v>
      </c>
    </row>
    <row r="72" spans="1:13" x14ac:dyDescent="0.45">
      <c r="A72">
        <v>2</v>
      </c>
    </row>
    <row r="73" spans="1:13" x14ac:dyDescent="0.45">
      <c r="A73">
        <v>5</v>
      </c>
      <c r="H73" s="2" t="s">
        <v>67</v>
      </c>
      <c r="I73" s="2">
        <f>AVERAGE(A16:A115)</f>
        <v>2.37</v>
      </c>
      <c r="J73" t="s">
        <v>62</v>
      </c>
    </row>
    <row r="74" spans="1:13" x14ac:dyDescent="0.45">
      <c r="A74">
        <v>4</v>
      </c>
      <c r="H74" s="2" t="s">
        <v>66</v>
      </c>
      <c r="I74" s="2">
        <f>MODE(A16:A115)</f>
        <v>1</v>
      </c>
      <c r="J74" t="s">
        <v>65</v>
      </c>
    </row>
    <row r="75" spans="1:13" x14ac:dyDescent="0.45">
      <c r="A75">
        <v>3</v>
      </c>
      <c r="H75" s="2" t="s">
        <v>63</v>
      </c>
      <c r="I75" s="2">
        <f>MEDIAN(A16:A115)</f>
        <v>2</v>
      </c>
      <c r="J75" t="s">
        <v>68</v>
      </c>
    </row>
    <row r="76" spans="1:13" x14ac:dyDescent="0.45">
      <c r="A76">
        <v>1</v>
      </c>
    </row>
    <row r="77" spans="1:13" x14ac:dyDescent="0.45">
      <c r="A77">
        <v>0</v>
      </c>
      <c r="H77" s="2" t="s">
        <v>69</v>
      </c>
    </row>
    <row r="78" spans="1:13" x14ac:dyDescent="0.45">
      <c r="A78">
        <v>1</v>
      </c>
      <c r="H78" s="2" t="s">
        <v>70</v>
      </c>
      <c r="I78">
        <f>MAX(A16:A115)-MIN(A16:A115)</f>
        <v>6</v>
      </c>
    </row>
    <row r="79" spans="1:13" ht="14.65" thickBot="1" x14ac:dyDescent="0.5">
      <c r="A79">
        <v>2</v>
      </c>
      <c r="H79" s="2" t="s">
        <v>71</v>
      </c>
      <c r="I79" s="14">
        <f>_xlfn.VAR.S(A16:A115)</f>
        <v>2.9021212121212114</v>
      </c>
    </row>
    <row r="80" spans="1:13" x14ac:dyDescent="0.45">
      <c r="A80">
        <v>3</v>
      </c>
      <c r="H80" s="2" t="s">
        <v>72</v>
      </c>
      <c r="I80" s="30">
        <f>_xlfn.STDEV.S(A16:A115)</f>
        <v>1.7035613320691485</v>
      </c>
      <c r="L80" s="32" t="s">
        <v>73</v>
      </c>
      <c r="M80" s="32"/>
    </row>
    <row r="81" spans="1:13" x14ac:dyDescent="0.45">
      <c r="A81">
        <v>4</v>
      </c>
    </row>
    <row r="82" spans="1:13" x14ac:dyDescent="0.45">
      <c r="A82">
        <v>4</v>
      </c>
      <c r="L82" t="s">
        <v>74</v>
      </c>
      <c r="M82">
        <v>2.37</v>
      </c>
    </row>
    <row r="83" spans="1:13" x14ac:dyDescent="0.45">
      <c r="A83">
        <v>5</v>
      </c>
      <c r="L83" t="s">
        <v>75</v>
      </c>
      <c r="M83">
        <v>0.17035613320691484</v>
      </c>
    </row>
    <row r="84" spans="1:13" x14ac:dyDescent="0.45">
      <c r="A84">
        <v>4</v>
      </c>
      <c r="L84" t="s">
        <v>76</v>
      </c>
      <c r="M84">
        <v>2</v>
      </c>
    </row>
    <row r="85" spans="1:13" x14ac:dyDescent="0.45">
      <c r="A85">
        <v>1</v>
      </c>
      <c r="L85" t="s">
        <v>77</v>
      </c>
      <c r="M85">
        <v>1</v>
      </c>
    </row>
    <row r="86" spans="1:13" x14ac:dyDescent="0.45">
      <c r="A86">
        <v>0</v>
      </c>
      <c r="L86" t="s">
        <v>78</v>
      </c>
      <c r="M86">
        <v>1.7035613320691485</v>
      </c>
    </row>
    <row r="87" spans="1:13" x14ac:dyDescent="0.45">
      <c r="A87">
        <v>0</v>
      </c>
      <c r="L87" t="s">
        <v>79</v>
      </c>
      <c r="M87">
        <v>2.9021212121212114</v>
      </c>
    </row>
    <row r="88" spans="1:13" x14ac:dyDescent="0.45">
      <c r="A88">
        <v>2</v>
      </c>
      <c r="L88" t="s">
        <v>80</v>
      </c>
      <c r="M88">
        <v>-0.79584316869168692</v>
      </c>
    </row>
    <row r="89" spans="1:13" x14ac:dyDescent="0.45">
      <c r="A89">
        <v>5</v>
      </c>
      <c r="L89" t="s">
        <v>81</v>
      </c>
      <c r="M89">
        <v>0.43993677002921927</v>
      </c>
    </row>
    <row r="90" spans="1:13" x14ac:dyDescent="0.45">
      <c r="A90">
        <v>2</v>
      </c>
      <c r="L90" t="s">
        <v>82</v>
      </c>
      <c r="M90">
        <v>6</v>
      </c>
    </row>
    <row r="91" spans="1:13" x14ac:dyDescent="0.45">
      <c r="A91">
        <v>2</v>
      </c>
      <c r="L91" t="s">
        <v>37</v>
      </c>
      <c r="M91">
        <v>0</v>
      </c>
    </row>
    <row r="92" spans="1:13" x14ac:dyDescent="0.45">
      <c r="A92">
        <v>3</v>
      </c>
      <c r="L92" t="s">
        <v>38</v>
      </c>
      <c r="M92">
        <v>6</v>
      </c>
    </row>
    <row r="93" spans="1:13" x14ac:dyDescent="0.45">
      <c r="A93">
        <v>6</v>
      </c>
      <c r="L93" t="s">
        <v>83</v>
      </c>
      <c r="M93">
        <v>237</v>
      </c>
    </row>
    <row r="94" spans="1:13" ht="14.65" thickBot="1" x14ac:dyDescent="0.5">
      <c r="A94">
        <v>1</v>
      </c>
      <c r="L94" s="31" t="s">
        <v>84</v>
      </c>
      <c r="M94" s="31">
        <v>100</v>
      </c>
    </row>
    <row r="95" spans="1:13" x14ac:dyDescent="0.45">
      <c r="A95">
        <v>1</v>
      </c>
    </row>
    <row r="96" spans="1:13" x14ac:dyDescent="0.45">
      <c r="A96">
        <v>4</v>
      </c>
    </row>
    <row r="97" spans="1:1" x14ac:dyDescent="0.45">
      <c r="A97">
        <v>5</v>
      </c>
    </row>
    <row r="98" spans="1:1" x14ac:dyDescent="0.45">
      <c r="A98">
        <v>2</v>
      </c>
    </row>
    <row r="99" spans="1:1" x14ac:dyDescent="0.45">
      <c r="A99">
        <v>0</v>
      </c>
    </row>
    <row r="100" spans="1:1" x14ac:dyDescent="0.45">
      <c r="A100">
        <v>3</v>
      </c>
    </row>
    <row r="101" spans="1:1" x14ac:dyDescent="0.45">
      <c r="A101">
        <v>1</v>
      </c>
    </row>
    <row r="102" spans="1:1" x14ac:dyDescent="0.45">
      <c r="A102">
        <v>2</v>
      </c>
    </row>
    <row r="103" spans="1:1" x14ac:dyDescent="0.45">
      <c r="A103">
        <v>1</v>
      </c>
    </row>
    <row r="104" spans="1:1" x14ac:dyDescent="0.45">
      <c r="A104">
        <v>4</v>
      </c>
    </row>
    <row r="105" spans="1:1" x14ac:dyDescent="0.45">
      <c r="A105">
        <v>2</v>
      </c>
    </row>
    <row r="106" spans="1:1" x14ac:dyDescent="0.45">
      <c r="A106">
        <v>2</v>
      </c>
    </row>
    <row r="107" spans="1:1" x14ac:dyDescent="0.45">
      <c r="A107">
        <v>3</v>
      </c>
    </row>
    <row r="108" spans="1:1" x14ac:dyDescent="0.45">
      <c r="A108">
        <v>4</v>
      </c>
    </row>
    <row r="109" spans="1:1" x14ac:dyDescent="0.45">
      <c r="A109">
        <v>1</v>
      </c>
    </row>
    <row r="110" spans="1:1" x14ac:dyDescent="0.45">
      <c r="A110">
        <v>0</v>
      </c>
    </row>
    <row r="111" spans="1:1" x14ac:dyDescent="0.45">
      <c r="A111">
        <v>2</v>
      </c>
    </row>
    <row r="112" spans="1:1" x14ac:dyDescent="0.45">
      <c r="A112">
        <v>1</v>
      </c>
    </row>
    <row r="113" spans="1:1" x14ac:dyDescent="0.45">
      <c r="A113">
        <v>1</v>
      </c>
    </row>
    <row r="114" spans="1:1" x14ac:dyDescent="0.45">
      <c r="A114">
        <v>2</v>
      </c>
    </row>
    <row r="115" spans="1:1" x14ac:dyDescent="0.45">
      <c r="A115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7EDE-F93B-4682-ADA7-01C11B218133}">
  <dimension ref="A14:Q94"/>
  <sheetViews>
    <sheetView topLeftCell="A40" zoomScale="95" zoomScaleNormal="115" workbookViewId="0">
      <selection activeCell="M68" sqref="M68"/>
    </sheetView>
  </sheetViews>
  <sheetFormatPr defaultRowHeight="14.25" x14ac:dyDescent="0.45"/>
  <cols>
    <col min="1" max="1" width="12" customWidth="1"/>
    <col min="3" max="3" width="20.86328125" customWidth="1"/>
  </cols>
  <sheetData>
    <row r="14" spans="1:10" x14ac:dyDescent="0.45">
      <c r="A14" s="8" t="s">
        <v>0</v>
      </c>
      <c r="C14" s="1"/>
      <c r="F14" t="s">
        <v>30</v>
      </c>
    </row>
    <row r="15" spans="1:10" x14ac:dyDescent="0.45">
      <c r="A15" s="2">
        <v>0</v>
      </c>
      <c r="F15" t="s">
        <v>31</v>
      </c>
    </row>
    <row r="16" spans="1:10" x14ac:dyDescent="0.45">
      <c r="A16" s="2">
        <v>1</v>
      </c>
      <c r="F16" t="s">
        <v>10</v>
      </c>
      <c r="G16" t="s">
        <v>11</v>
      </c>
      <c r="H16" t="s">
        <v>12</v>
      </c>
      <c r="I16" t="s">
        <v>22</v>
      </c>
      <c r="J16" t="s">
        <v>23</v>
      </c>
    </row>
    <row r="17" spans="1:10" x14ac:dyDescent="0.45">
      <c r="A17" s="2">
        <v>3</v>
      </c>
      <c r="F17">
        <v>0</v>
      </c>
      <c r="G17">
        <f>COUNTIF($A$15:$A$94,F17)</f>
        <v>21</v>
      </c>
      <c r="H17" s="7">
        <f>G17/80</f>
        <v>0.26250000000000001</v>
      </c>
      <c r="I17">
        <f>G17</f>
        <v>21</v>
      </c>
      <c r="J17" s="25">
        <f>H17</f>
        <v>0.26250000000000001</v>
      </c>
    </row>
    <row r="18" spans="1:10" x14ac:dyDescent="0.45">
      <c r="A18" s="2">
        <v>1</v>
      </c>
      <c r="C18" s="1"/>
      <c r="F18">
        <v>1</v>
      </c>
      <c r="G18">
        <f>COUNTIF($A$15:$A495,F18)</f>
        <v>30</v>
      </c>
      <c r="H18" s="7">
        <f t="shared" ref="H18:H21" si="0">G18/80</f>
        <v>0.375</v>
      </c>
      <c r="I18">
        <f>I17+G18</f>
        <v>51</v>
      </c>
      <c r="J18" s="25">
        <f>J17+H18</f>
        <v>0.63749999999999996</v>
      </c>
    </row>
    <row r="19" spans="1:10" x14ac:dyDescent="0.45">
      <c r="A19" s="2">
        <v>1</v>
      </c>
      <c r="F19">
        <v>2</v>
      </c>
      <c r="G19">
        <f>COUNTIF($A$15:$A496,F19)</f>
        <v>15</v>
      </c>
      <c r="H19" s="7">
        <f t="shared" si="0"/>
        <v>0.1875</v>
      </c>
      <c r="I19">
        <f t="shared" ref="I19:I21" si="1">I18+G19</f>
        <v>66</v>
      </c>
      <c r="J19" s="25">
        <f t="shared" ref="J19:J21" si="2">J18+H19</f>
        <v>0.82499999999999996</v>
      </c>
    </row>
    <row r="20" spans="1:10" x14ac:dyDescent="0.45">
      <c r="A20" s="2">
        <v>2</v>
      </c>
      <c r="F20">
        <v>3</v>
      </c>
      <c r="G20">
        <f>COUNTIF($A$15:$A497,F20)</f>
        <v>8</v>
      </c>
      <c r="H20" s="7">
        <f t="shared" si="0"/>
        <v>0.1</v>
      </c>
      <c r="I20">
        <f t="shared" si="1"/>
        <v>74</v>
      </c>
      <c r="J20" s="25">
        <f t="shared" si="2"/>
        <v>0.92499999999999993</v>
      </c>
    </row>
    <row r="21" spans="1:10" x14ac:dyDescent="0.45">
      <c r="A21" s="2">
        <v>1</v>
      </c>
      <c r="E21" s="7"/>
      <c r="F21">
        <v>4</v>
      </c>
      <c r="G21">
        <f>COUNTIF($A$15:$A498,F21)</f>
        <v>6</v>
      </c>
      <c r="H21" s="7">
        <f t="shared" si="0"/>
        <v>7.4999999999999997E-2</v>
      </c>
      <c r="I21">
        <f t="shared" si="1"/>
        <v>80</v>
      </c>
      <c r="J21" s="25">
        <f t="shared" si="2"/>
        <v>0.99999999999999989</v>
      </c>
    </row>
    <row r="22" spans="1:10" x14ac:dyDescent="0.45">
      <c r="A22" s="2">
        <v>1</v>
      </c>
      <c r="E22" s="7"/>
      <c r="F22" t="s">
        <v>21</v>
      </c>
      <c r="G22" s="24">
        <f>SUM(G17:G21)</f>
        <v>80</v>
      </c>
    </row>
    <row r="23" spans="1:10" x14ac:dyDescent="0.45">
      <c r="A23" s="2">
        <v>1</v>
      </c>
      <c r="E23" s="7"/>
      <c r="G23" s="6"/>
    </row>
    <row r="24" spans="1:10" x14ac:dyDescent="0.45">
      <c r="A24" s="2">
        <v>4</v>
      </c>
      <c r="E24" s="7"/>
      <c r="F24" t="s">
        <v>32</v>
      </c>
      <c r="G24" s="7"/>
    </row>
    <row r="25" spans="1:10" x14ac:dyDescent="0.45">
      <c r="A25" s="2">
        <v>2</v>
      </c>
      <c r="E25" s="7"/>
      <c r="G25" s="7"/>
    </row>
    <row r="26" spans="1:10" x14ac:dyDescent="0.45">
      <c r="A26" s="2">
        <v>0</v>
      </c>
    </row>
    <row r="27" spans="1:10" x14ac:dyDescent="0.45">
      <c r="A27" s="2">
        <v>0</v>
      </c>
    </row>
    <row r="28" spans="1:10" x14ac:dyDescent="0.45">
      <c r="A28" s="2">
        <v>4</v>
      </c>
    </row>
    <row r="29" spans="1:10" x14ac:dyDescent="0.45">
      <c r="A29" s="2">
        <v>0</v>
      </c>
    </row>
    <row r="30" spans="1:10" x14ac:dyDescent="0.45">
      <c r="A30" s="2">
        <v>1</v>
      </c>
    </row>
    <row r="31" spans="1:10" x14ac:dyDescent="0.45">
      <c r="A31" s="2">
        <v>0</v>
      </c>
    </row>
    <row r="32" spans="1:10" x14ac:dyDescent="0.45">
      <c r="A32" s="2">
        <v>1</v>
      </c>
    </row>
    <row r="33" spans="1:10" x14ac:dyDescent="0.45">
      <c r="A33" s="2">
        <v>1</v>
      </c>
    </row>
    <row r="34" spans="1:10" x14ac:dyDescent="0.45">
      <c r="A34" s="2">
        <v>0</v>
      </c>
    </row>
    <row r="35" spans="1:10" x14ac:dyDescent="0.45">
      <c r="A35" s="2">
        <v>4</v>
      </c>
    </row>
    <row r="36" spans="1:10" x14ac:dyDescent="0.45">
      <c r="A36" s="2">
        <v>1</v>
      </c>
    </row>
    <row r="37" spans="1:10" x14ac:dyDescent="0.45">
      <c r="A37" s="2">
        <v>1</v>
      </c>
    </row>
    <row r="38" spans="1:10" x14ac:dyDescent="0.45">
      <c r="A38" s="2">
        <v>1</v>
      </c>
    </row>
    <row r="39" spans="1:10" x14ac:dyDescent="0.45">
      <c r="A39" s="2">
        <v>0</v>
      </c>
    </row>
    <row r="40" spans="1:10" x14ac:dyDescent="0.45">
      <c r="A40" s="2">
        <v>0</v>
      </c>
      <c r="C40" s="1"/>
    </row>
    <row r="41" spans="1:10" x14ac:dyDescent="0.45">
      <c r="A41" s="2">
        <v>3</v>
      </c>
    </row>
    <row r="42" spans="1:10" x14ac:dyDescent="0.45">
      <c r="A42" s="2">
        <v>2</v>
      </c>
    </row>
    <row r="43" spans="1:10" x14ac:dyDescent="0.45">
      <c r="A43" s="2">
        <v>1</v>
      </c>
    </row>
    <row r="44" spans="1:10" x14ac:dyDescent="0.45">
      <c r="A44" s="2">
        <v>0</v>
      </c>
      <c r="I44" s="16"/>
      <c r="J44" s="16"/>
    </row>
    <row r="45" spans="1:10" x14ac:dyDescent="0.45">
      <c r="A45" s="2">
        <v>4</v>
      </c>
      <c r="C45" s="1"/>
    </row>
    <row r="46" spans="1:10" x14ac:dyDescent="0.45">
      <c r="A46" s="2">
        <v>0</v>
      </c>
    </row>
    <row r="47" spans="1:10" x14ac:dyDescent="0.45">
      <c r="A47" s="2">
        <v>1</v>
      </c>
    </row>
    <row r="48" spans="1:10" x14ac:dyDescent="0.45">
      <c r="A48" s="2">
        <v>2</v>
      </c>
    </row>
    <row r="49" spans="1:17" x14ac:dyDescent="0.45">
      <c r="A49" s="2">
        <v>0</v>
      </c>
      <c r="D49" s="6"/>
    </row>
    <row r="50" spans="1:17" x14ac:dyDescent="0.45">
      <c r="A50" s="2">
        <v>2</v>
      </c>
    </row>
    <row r="51" spans="1:17" x14ac:dyDescent="0.45">
      <c r="A51" s="2">
        <v>2</v>
      </c>
    </row>
    <row r="52" spans="1:17" x14ac:dyDescent="0.45">
      <c r="A52" s="2">
        <v>0</v>
      </c>
    </row>
    <row r="53" spans="1:17" x14ac:dyDescent="0.45">
      <c r="A53" s="2">
        <v>3</v>
      </c>
    </row>
    <row r="54" spans="1:17" x14ac:dyDescent="0.45">
      <c r="A54" s="2">
        <v>4</v>
      </c>
    </row>
    <row r="55" spans="1:17" x14ac:dyDescent="0.45">
      <c r="A55" s="2">
        <v>0</v>
      </c>
    </row>
    <row r="56" spans="1:17" ht="14.65" thickBot="1" x14ac:dyDescent="0.5">
      <c r="A56" s="2">
        <v>3</v>
      </c>
    </row>
    <row r="57" spans="1:17" x14ac:dyDescent="0.45">
      <c r="A57" s="2">
        <v>2</v>
      </c>
      <c r="E57" t="s">
        <v>88</v>
      </c>
      <c r="F57" s="32" t="s">
        <v>73</v>
      </c>
      <c r="G57" s="32"/>
    </row>
    <row r="58" spans="1:17" x14ac:dyDescent="0.45">
      <c r="A58" s="2">
        <v>1</v>
      </c>
    </row>
    <row r="59" spans="1:17" x14ac:dyDescent="0.45">
      <c r="A59" s="2">
        <v>1</v>
      </c>
      <c r="F59" t="s">
        <v>74</v>
      </c>
      <c r="G59">
        <v>1.35</v>
      </c>
      <c r="J59" t="s">
        <v>89</v>
      </c>
      <c r="K59" t="s">
        <v>90</v>
      </c>
      <c r="L59">
        <f>G69-G68</f>
        <v>4</v>
      </c>
    </row>
    <row r="60" spans="1:17" x14ac:dyDescent="0.45">
      <c r="A60" s="2">
        <v>0</v>
      </c>
      <c r="F60" t="s">
        <v>75</v>
      </c>
      <c r="G60">
        <v>0.13324100178609444</v>
      </c>
      <c r="K60" t="s">
        <v>91</v>
      </c>
      <c r="L60">
        <v>1.42025316455696</v>
      </c>
    </row>
    <row r="61" spans="1:17" x14ac:dyDescent="0.45">
      <c r="A61" s="2">
        <v>2</v>
      </c>
      <c r="F61" t="s">
        <v>76</v>
      </c>
      <c r="G61">
        <v>1</v>
      </c>
      <c r="K61" t="s">
        <v>92</v>
      </c>
      <c r="L61">
        <v>1.1917437495355101</v>
      </c>
    </row>
    <row r="62" spans="1:17" x14ac:dyDescent="0.45">
      <c r="A62" s="2">
        <v>1</v>
      </c>
      <c r="F62" t="s">
        <v>77</v>
      </c>
      <c r="G62">
        <v>1</v>
      </c>
    </row>
    <row r="63" spans="1:17" x14ac:dyDescent="0.45">
      <c r="A63" s="2">
        <v>3</v>
      </c>
      <c r="F63" t="s">
        <v>78</v>
      </c>
      <c r="G63">
        <v>1.1917437495355101</v>
      </c>
      <c r="J63" t="s">
        <v>94</v>
      </c>
      <c r="Q63" s="13"/>
    </row>
    <row r="64" spans="1:17" x14ac:dyDescent="0.45">
      <c r="A64" s="2">
        <v>2</v>
      </c>
      <c r="F64" t="s">
        <v>79</v>
      </c>
      <c r="G64">
        <v>1.42025316455696</v>
      </c>
    </row>
    <row r="65" spans="1:16" x14ac:dyDescent="0.45">
      <c r="A65" s="2">
        <v>3</v>
      </c>
      <c r="F65" t="s">
        <v>80</v>
      </c>
      <c r="G65">
        <v>-0.21907601392287912</v>
      </c>
      <c r="J65" t="s">
        <v>93</v>
      </c>
      <c r="P65">
        <f>COUNTIF(A15:A94,"&gt;=3")</f>
        <v>14</v>
      </c>
    </row>
    <row r="66" spans="1:16" x14ac:dyDescent="0.45">
      <c r="A66" s="2">
        <v>1</v>
      </c>
      <c r="F66" t="s">
        <v>81</v>
      </c>
      <c r="G66">
        <v>0.75753155103238223</v>
      </c>
    </row>
    <row r="67" spans="1:16" x14ac:dyDescent="0.45">
      <c r="A67" s="2">
        <v>2</v>
      </c>
      <c r="F67" t="s">
        <v>82</v>
      </c>
      <c r="G67">
        <v>4</v>
      </c>
    </row>
    <row r="68" spans="1:16" x14ac:dyDescent="0.45">
      <c r="A68" s="2">
        <v>1</v>
      </c>
      <c r="F68" t="s">
        <v>37</v>
      </c>
      <c r="G68">
        <v>0</v>
      </c>
    </row>
    <row r="69" spans="1:16" x14ac:dyDescent="0.45">
      <c r="A69" s="2">
        <v>1</v>
      </c>
      <c r="F69" t="s">
        <v>38</v>
      </c>
      <c r="G69">
        <v>4</v>
      </c>
    </row>
    <row r="70" spans="1:16" x14ac:dyDescent="0.45">
      <c r="A70" s="2">
        <v>2</v>
      </c>
      <c r="F70" t="s">
        <v>83</v>
      </c>
      <c r="G70">
        <v>108</v>
      </c>
    </row>
    <row r="71" spans="1:16" ht="14.65" thickBot="1" x14ac:dyDescent="0.5">
      <c r="A71" s="2">
        <v>0</v>
      </c>
      <c r="F71" s="31" t="s">
        <v>84</v>
      </c>
      <c r="G71" s="31">
        <v>80</v>
      </c>
    </row>
    <row r="72" spans="1:16" x14ac:dyDescent="0.45">
      <c r="A72" s="2">
        <v>1</v>
      </c>
    </row>
    <row r="73" spans="1:16" x14ac:dyDescent="0.45">
      <c r="A73" s="2">
        <v>0</v>
      </c>
    </row>
    <row r="74" spans="1:16" x14ac:dyDescent="0.45">
      <c r="A74" s="2">
        <v>1</v>
      </c>
    </row>
    <row r="75" spans="1:16" x14ac:dyDescent="0.45">
      <c r="A75" s="2">
        <v>0</v>
      </c>
    </row>
    <row r="76" spans="1:16" x14ac:dyDescent="0.45">
      <c r="A76" s="2">
        <v>1</v>
      </c>
    </row>
    <row r="77" spans="1:16" x14ac:dyDescent="0.45">
      <c r="A77" s="2">
        <v>0</v>
      </c>
    </row>
    <row r="78" spans="1:16" x14ac:dyDescent="0.45">
      <c r="A78" s="2">
        <v>1</v>
      </c>
    </row>
    <row r="79" spans="1:16" x14ac:dyDescent="0.45">
      <c r="A79" s="2">
        <v>4</v>
      </c>
    </row>
    <row r="80" spans="1:16" x14ac:dyDescent="0.45">
      <c r="A80" s="2">
        <v>2</v>
      </c>
    </row>
    <row r="81" spans="1:1" x14ac:dyDescent="0.45">
      <c r="A81" s="2">
        <v>1</v>
      </c>
    </row>
    <row r="82" spans="1:1" x14ac:dyDescent="0.45">
      <c r="A82" s="2">
        <v>1</v>
      </c>
    </row>
    <row r="83" spans="1:1" x14ac:dyDescent="0.45">
      <c r="A83" s="2">
        <v>0</v>
      </c>
    </row>
    <row r="84" spans="1:1" x14ac:dyDescent="0.45">
      <c r="A84" s="2">
        <v>2</v>
      </c>
    </row>
    <row r="85" spans="1:1" x14ac:dyDescent="0.45">
      <c r="A85" s="2">
        <v>1</v>
      </c>
    </row>
    <row r="86" spans="1:1" x14ac:dyDescent="0.45">
      <c r="A86" s="2">
        <v>1</v>
      </c>
    </row>
    <row r="87" spans="1:1" x14ac:dyDescent="0.45">
      <c r="A87" s="2">
        <v>2</v>
      </c>
    </row>
    <row r="88" spans="1:1" x14ac:dyDescent="0.45">
      <c r="A88" s="2">
        <v>0</v>
      </c>
    </row>
    <row r="89" spans="1:1" x14ac:dyDescent="0.45">
      <c r="A89" s="2">
        <v>3</v>
      </c>
    </row>
    <row r="90" spans="1:1" x14ac:dyDescent="0.45">
      <c r="A90" s="2">
        <v>0</v>
      </c>
    </row>
    <row r="91" spans="1:1" x14ac:dyDescent="0.45">
      <c r="A91" s="2">
        <v>1</v>
      </c>
    </row>
    <row r="92" spans="1:1" x14ac:dyDescent="0.45">
      <c r="A92" s="2">
        <v>1</v>
      </c>
    </row>
    <row r="93" spans="1:1" x14ac:dyDescent="0.45">
      <c r="A93" s="2">
        <v>3</v>
      </c>
    </row>
    <row r="94" spans="1:1" x14ac:dyDescent="0.45">
      <c r="A94" s="2">
        <v>2</v>
      </c>
    </row>
  </sheetData>
  <autoFilter ref="A15:A94" xr:uid="{50C57EDE-F93B-4682-ADA7-01C11B218133}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6BC6-42E4-4D25-9EA7-86C78E269EFF}">
  <dimension ref="A13:M133"/>
  <sheetViews>
    <sheetView zoomScale="88" zoomScaleNormal="100" workbookViewId="0">
      <selection activeCell="K20" sqref="K20"/>
    </sheetView>
  </sheetViews>
  <sheetFormatPr defaultRowHeight="14.25" x14ac:dyDescent="0.45"/>
  <sheetData>
    <row r="13" spans="1:7" x14ac:dyDescent="0.45">
      <c r="A13" s="1" t="s">
        <v>0</v>
      </c>
      <c r="G13" t="s">
        <v>48</v>
      </c>
    </row>
    <row r="14" spans="1:7" x14ac:dyDescent="0.45">
      <c r="A14" s="17">
        <v>4</v>
      </c>
      <c r="G14" t="s">
        <v>19</v>
      </c>
    </row>
    <row r="15" spans="1:7" x14ac:dyDescent="0.45">
      <c r="A15" s="17">
        <v>1</v>
      </c>
    </row>
    <row r="16" spans="1:7" ht="14.65" thickBot="1" x14ac:dyDescent="0.5">
      <c r="A16" s="17">
        <v>3</v>
      </c>
      <c r="G16" t="s">
        <v>49</v>
      </c>
    </row>
    <row r="17" spans="1:11" ht="15" thickTop="1" thickBot="1" x14ac:dyDescent="0.5">
      <c r="A17" s="17">
        <v>1</v>
      </c>
      <c r="G17" s="33" t="s">
        <v>10</v>
      </c>
      <c r="H17" s="33" t="s">
        <v>11</v>
      </c>
      <c r="I17" s="33" t="s">
        <v>12</v>
      </c>
      <c r="J17" s="33" t="s">
        <v>42</v>
      </c>
      <c r="K17" s="33" t="s">
        <v>43</v>
      </c>
    </row>
    <row r="18" spans="1:11" ht="15" thickTop="1" thickBot="1" x14ac:dyDescent="0.5">
      <c r="A18" s="17">
        <v>1</v>
      </c>
      <c r="G18" s="33">
        <v>0</v>
      </c>
      <c r="H18" s="33">
        <f>COUNTIF($A$14:$A$133,G18)</f>
        <v>17</v>
      </c>
      <c r="I18" s="34">
        <f>H18/120</f>
        <v>0.14166666666666666</v>
      </c>
      <c r="J18" s="35">
        <f>H18</f>
        <v>17</v>
      </c>
      <c r="K18" s="36">
        <f>I18</f>
        <v>0.14166666666666666</v>
      </c>
    </row>
    <row r="19" spans="1:11" ht="15" thickTop="1" thickBot="1" x14ac:dyDescent="0.5">
      <c r="A19" s="17">
        <v>6</v>
      </c>
      <c r="G19" s="33">
        <v>1</v>
      </c>
      <c r="H19" s="33">
        <f t="shared" ref="H19:H24" si="0">COUNTIF($A$14:$A$133,G19)</f>
        <v>18</v>
      </c>
      <c r="I19" s="34">
        <f t="shared" ref="I19:I24" si="1">H19/120</f>
        <v>0.15</v>
      </c>
      <c r="J19" s="35">
        <f>J18+H19</f>
        <v>35</v>
      </c>
      <c r="K19" s="37">
        <f>K18+I19</f>
        <v>0.29166666666666663</v>
      </c>
    </row>
    <row r="20" spans="1:11" ht="15" thickTop="1" thickBot="1" x14ac:dyDescent="0.5">
      <c r="A20" s="17">
        <v>0</v>
      </c>
      <c r="G20" s="33">
        <v>2</v>
      </c>
      <c r="H20" s="33">
        <f t="shared" si="0"/>
        <v>19</v>
      </c>
      <c r="I20" s="34">
        <f t="shared" si="1"/>
        <v>0.15833333333333333</v>
      </c>
      <c r="J20" s="35">
        <f t="shared" ref="J20:J24" si="2">J19+H20</f>
        <v>54</v>
      </c>
      <c r="K20" s="37">
        <f t="shared" ref="K20:K24" si="3">K19+I20</f>
        <v>0.44999999999999996</v>
      </c>
    </row>
    <row r="21" spans="1:11" ht="15" thickTop="1" thickBot="1" x14ac:dyDescent="0.5">
      <c r="A21" s="17">
        <v>3</v>
      </c>
      <c r="G21" s="33">
        <v>3</v>
      </c>
      <c r="H21" s="33">
        <f t="shared" si="0"/>
        <v>19</v>
      </c>
      <c r="I21" s="34">
        <f t="shared" si="1"/>
        <v>0.15833333333333333</v>
      </c>
      <c r="J21" s="35">
        <f t="shared" si="2"/>
        <v>73</v>
      </c>
      <c r="K21" s="37">
        <f t="shared" si="3"/>
        <v>0.60833333333333328</v>
      </c>
    </row>
    <row r="22" spans="1:11" ht="15" thickTop="1" thickBot="1" x14ac:dyDescent="0.5">
      <c r="A22" s="17">
        <v>6</v>
      </c>
      <c r="G22" s="33">
        <v>4</v>
      </c>
      <c r="H22" s="33">
        <f t="shared" si="0"/>
        <v>14</v>
      </c>
      <c r="I22" s="34">
        <f t="shared" si="1"/>
        <v>0.11666666666666667</v>
      </c>
      <c r="J22" s="35">
        <f t="shared" si="2"/>
        <v>87</v>
      </c>
      <c r="K22" s="37">
        <f t="shared" si="3"/>
        <v>0.72499999999999998</v>
      </c>
    </row>
    <row r="23" spans="1:11" ht="15" thickTop="1" thickBot="1" x14ac:dyDescent="0.5">
      <c r="A23" s="17">
        <v>2</v>
      </c>
      <c r="G23" s="33">
        <v>5</v>
      </c>
      <c r="H23" s="33">
        <f t="shared" si="0"/>
        <v>15</v>
      </c>
      <c r="I23" s="34">
        <f t="shared" si="1"/>
        <v>0.125</v>
      </c>
      <c r="J23" s="35">
        <f t="shared" si="2"/>
        <v>102</v>
      </c>
      <c r="K23" s="37">
        <f t="shared" si="3"/>
        <v>0.85</v>
      </c>
    </row>
    <row r="24" spans="1:11" ht="15" thickTop="1" thickBot="1" x14ac:dyDescent="0.5">
      <c r="A24" s="17">
        <v>1</v>
      </c>
      <c r="G24" s="33">
        <v>6</v>
      </c>
      <c r="H24" s="33">
        <f t="shared" si="0"/>
        <v>18</v>
      </c>
      <c r="I24" s="34">
        <f t="shared" si="1"/>
        <v>0.15</v>
      </c>
      <c r="J24" s="35">
        <f t="shared" si="2"/>
        <v>120</v>
      </c>
      <c r="K24" s="37">
        <f t="shared" si="3"/>
        <v>1</v>
      </c>
    </row>
    <row r="25" spans="1:11" ht="14.65" thickTop="1" x14ac:dyDescent="0.45">
      <c r="A25" s="17">
        <v>5</v>
      </c>
      <c r="G25" t="s">
        <v>21</v>
      </c>
      <c r="H25">
        <f>SUM(H18:H24)</f>
        <v>120</v>
      </c>
      <c r="I25" s="13">
        <f>SUM(I18:I24)</f>
        <v>1</v>
      </c>
    </row>
    <row r="26" spans="1:11" x14ac:dyDescent="0.45">
      <c r="A26" s="17">
        <v>6</v>
      </c>
    </row>
    <row r="27" spans="1:11" x14ac:dyDescent="0.45">
      <c r="A27" s="17">
        <v>5</v>
      </c>
    </row>
    <row r="28" spans="1:11" x14ac:dyDescent="0.45">
      <c r="A28" s="17">
        <v>3</v>
      </c>
      <c r="G28" t="s">
        <v>59</v>
      </c>
    </row>
    <row r="29" spans="1:11" x14ac:dyDescent="0.45">
      <c r="A29" s="17">
        <v>3</v>
      </c>
    </row>
    <row r="30" spans="1:11" x14ac:dyDescent="0.45">
      <c r="A30" s="17">
        <v>6</v>
      </c>
    </row>
    <row r="31" spans="1:11" x14ac:dyDescent="0.45">
      <c r="A31" s="17">
        <v>2</v>
      </c>
    </row>
    <row r="32" spans="1:11" x14ac:dyDescent="0.45">
      <c r="A32" s="17">
        <v>5</v>
      </c>
    </row>
    <row r="33" spans="1:1" x14ac:dyDescent="0.45">
      <c r="A33" s="17">
        <v>4</v>
      </c>
    </row>
    <row r="34" spans="1:1" x14ac:dyDescent="0.45">
      <c r="A34" s="17">
        <v>3</v>
      </c>
    </row>
    <row r="35" spans="1:1" x14ac:dyDescent="0.45">
      <c r="A35" s="17">
        <v>5</v>
      </c>
    </row>
    <row r="36" spans="1:1" x14ac:dyDescent="0.45">
      <c r="A36" s="17">
        <v>1</v>
      </c>
    </row>
    <row r="37" spans="1:1" x14ac:dyDescent="0.45">
      <c r="A37" s="17">
        <v>1</v>
      </c>
    </row>
    <row r="38" spans="1:1" x14ac:dyDescent="0.45">
      <c r="A38" s="17">
        <v>2</v>
      </c>
    </row>
    <row r="39" spans="1:1" x14ac:dyDescent="0.45">
      <c r="A39" s="17">
        <v>3</v>
      </c>
    </row>
    <row r="40" spans="1:1" x14ac:dyDescent="0.45">
      <c r="A40" s="17">
        <v>1</v>
      </c>
    </row>
    <row r="41" spans="1:1" x14ac:dyDescent="0.45">
      <c r="A41" s="17">
        <v>0</v>
      </c>
    </row>
    <row r="42" spans="1:1" x14ac:dyDescent="0.45">
      <c r="A42" s="17">
        <v>1</v>
      </c>
    </row>
    <row r="43" spans="1:1" x14ac:dyDescent="0.45">
      <c r="A43" s="17">
        <v>0</v>
      </c>
    </row>
    <row r="44" spans="1:1" x14ac:dyDescent="0.45">
      <c r="A44" s="17">
        <v>1</v>
      </c>
    </row>
    <row r="45" spans="1:1" x14ac:dyDescent="0.45">
      <c r="A45" s="17">
        <v>2</v>
      </c>
    </row>
    <row r="46" spans="1:1" x14ac:dyDescent="0.45">
      <c r="A46" s="17">
        <v>2</v>
      </c>
    </row>
    <row r="47" spans="1:1" x14ac:dyDescent="0.45">
      <c r="A47" s="17">
        <v>6</v>
      </c>
    </row>
    <row r="48" spans="1:1" x14ac:dyDescent="0.45">
      <c r="A48" s="17">
        <v>1</v>
      </c>
    </row>
    <row r="49" spans="1:13" x14ac:dyDescent="0.45">
      <c r="A49" s="17">
        <v>3</v>
      </c>
    </row>
    <row r="50" spans="1:13" x14ac:dyDescent="0.45">
      <c r="A50" s="17">
        <v>3</v>
      </c>
    </row>
    <row r="51" spans="1:13" x14ac:dyDescent="0.45">
      <c r="A51" s="17">
        <v>1</v>
      </c>
    </row>
    <row r="52" spans="1:13" x14ac:dyDescent="0.45">
      <c r="A52" s="17">
        <v>2</v>
      </c>
    </row>
    <row r="53" spans="1:13" x14ac:dyDescent="0.45">
      <c r="A53" s="17">
        <v>2</v>
      </c>
    </row>
    <row r="54" spans="1:13" x14ac:dyDescent="0.45">
      <c r="A54" s="17">
        <v>5</v>
      </c>
    </row>
    <row r="55" spans="1:13" x14ac:dyDescent="0.45">
      <c r="A55" s="17">
        <v>3</v>
      </c>
    </row>
    <row r="56" spans="1:13" x14ac:dyDescent="0.45">
      <c r="A56" s="17">
        <v>1</v>
      </c>
    </row>
    <row r="57" spans="1:13" x14ac:dyDescent="0.45">
      <c r="A57" s="17">
        <v>2</v>
      </c>
    </row>
    <row r="58" spans="1:13" x14ac:dyDescent="0.45">
      <c r="A58" s="17">
        <v>2</v>
      </c>
    </row>
    <row r="59" spans="1:13" x14ac:dyDescent="0.45">
      <c r="A59" s="17">
        <v>3</v>
      </c>
    </row>
    <row r="60" spans="1:13" ht="14.65" thickBot="1" x14ac:dyDescent="0.5">
      <c r="A60" s="17">
        <v>5</v>
      </c>
    </row>
    <row r="61" spans="1:13" x14ac:dyDescent="0.45">
      <c r="A61" s="17">
        <v>6</v>
      </c>
      <c r="H61" t="s">
        <v>60</v>
      </c>
      <c r="I61" s="32" t="s">
        <v>73</v>
      </c>
      <c r="J61" s="32"/>
      <c r="M61" t="s">
        <v>85</v>
      </c>
    </row>
    <row r="62" spans="1:13" x14ac:dyDescent="0.45">
      <c r="A62" s="17">
        <v>3</v>
      </c>
      <c r="M62" t="s">
        <v>87</v>
      </c>
    </row>
    <row r="63" spans="1:13" x14ac:dyDescent="0.45">
      <c r="A63" s="17">
        <v>1</v>
      </c>
      <c r="I63" t="s">
        <v>74</v>
      </c>
      <c r="J63">
        <v>2.9333333333333331</v>
      </c>
      <c r="M63" t="s">
        <v>86</v>
      </c>
    </row>
    <row r="64" spans="1:13" x14ac:dyDescent="0.45">
      <c r="A64" s="17">
        <v>1</v>
      </c>
      <c r="I64" t="s">
        <v>75</v>
      </c>
      <c r="J64">
        <v>0.18323781570819073</v>
      </c>
    </row>
    <row r="65" spans="1:10" x14ac:dyDescent="0.45">
      <c r="A65" s="17">
        <v>0</v>
      </c>
      <c r="I65" t="s">
        <v>76</v>
      </c>
      <c r="J65">
        <v>3</v>
      </c>
    </row>
    <row r="66" spans="1:10" x14ac:dyDescent="0.45">
      <c r="A66" s="17">
        <v>5</v>
      </c>
      <c r="I66" t="s">
        <v>77</v>
      </c>
      <c r="J66">
        <v>3</v>
      </c>
    </row>
    <row r="67" spans="1:10" x14ac:dyDescent="0.45">
      <c r="A67" s="17">
        <v>6</v>
      </c>
      <c r="I67" t="s">
        <v>78</v>
      </c>
      <c r="J67">
        <v>2.0072697010270102</v>
      </c>
    </row>
    <row r="68" spans="1:10" x14ac:dyDescent="0.45">
      <c r="A68" s="17">
        <v>4</v>
      </c>
      <c r="I68" t="s">
        <v>79</v>
      </c>
      <c r="J68">
        <v>4.0291316526610643</v>
      </c>
    </row>
    <row r="69" spans="1:10" x14ac:dyDescent="0.45">
      <c r="A69" s="17">
        <v>6</v>
      </c>
      <c r="I69" t="s">
        <v>80</v>
      </c>
      <c r="J69">
        <v>-1.221637931304691</v>
      </c>
    </row>
    <row r="70" spans="1:10" x14ac:dyDescent="0.45">
      <c r="A70" s="17">
        <v>3</v>
      </c>
      <c r="I70" t="s">
        <v>81</v>
      </c>
      <c r="J70">
        <v>9.9250859162303792E-2</v>
      </c>
    </row>
    <row r="71" spans="1:10" x14ac:dyDescent="0.45">
      <c r="A71" s="17">
        <v>2</v>
      </c>
      <c r="I71" t="s">
        <v>82</v>
      </c>
      <c r="J71">
        <v>6</v>
      </c>
    </row>
    <row r="72" spans="1:10" x14ac:dyDescent="0.45">
      <c r="A72" s="17">
        <v>4</v>
      </c>
      <c r="I72" t="s">
        <v>37</v>
      </c>
      <c r="J72">
        <v>0</v>
      </c>
    </row>
    <row r="73" spans="1:10" x14ac:dyDescent="0.45">
      <c r="A73" s="17">
        <v>4</v>
      </c>
      <c r="I73" t="s">
        <v>38</v>
      </c>
      <c r="J73">
        <v>6</v>
      </c>
    </row>
    <row r="74" spans="1:10" x14ac:dyDescent="0.45">
      <c r="A74" s="17">
        <v>5</v>
      </c>
      <c r="I74" t="s">
        <v>83</v>
      </c>
      <c r="J74">
        <v>352</v>
      </c>
    </row>
    <row r="75" spans="1:10" ht="14.65" thickBot="1" x14ac:dyDescent="0.5">
      <c r="A75" s="17">
        <v>0</v>
      </c>
      <c r="I75" s="31" t="s">
        <v>84</v>
      </c>
      <c r="J75" s="31">
        <v>120</v>
      </c>
    </row>
    <row r="76" spans="1:10" x14ac:dyDescent="0.45">
      <c r="A76" s="17">
        <v>5</v>
      </c>
    </row>
    <row r="77" spans="1:10" x14ac:dyDescent="0.45">
      <c r="A77" s="17">
        <v>2</v>
      </c>
    </row>
    <row r="78" spans="1:10" x14ac:dyDescent="0.45">
      <c r="A78" s="17">
        <v>3</v>
      </c>
    </row>
    <row r="79" spans="1:10" x14ac:dyDescent="0.45">
      <c r="A79" s="17">
        <v>2</v>
      </c>
    </row>
    <row r="80" spans="1:10" x14ac:dyDescent="0.45">
      <c r="A80" s="17">
        <v>5</v>
      </c>
    </row>
    <row r="81" spans="1:1" x14ac:dyDescent="0.45">
      <c r="A81" s="17">
        <v>3</v>
      </c>
    </row>
    <row r="82" spans="1:1" x14ac:dyDescent="0.45">
      <c r="A82" s="17">
        <v>4</v>
      </c>
    </row>
    <row r="83" spans="1:1" x14ac:dyDescent="0.45">
      <c r="A83" s="17">
        <v>3</v>
      </c>
    </row>
    <row r="84" spans="1:1" x14ac:dyDescent="0.45">
      <c r="A84" s="17">
        <v>4</v>
      </c>
    </row>
    <row r="85" spans="1:1" x14ac:dyDescent="0.45">
      <c r="A85" s="17">
        <v>4</v>
      </c>
    </row>
    <row r="86" spans="1:1" x14ac:dyDescent="0.45">
      <c r="A86" s="17">
        <v>1</v>
      </c>
    </row>
    <row r="87" spans="1:1" x14ac:dyDescent="0.45">
      <c r="A87" s="17">
        <v>0</v>
      </c>
    </row>
    <row r="88" spans="1:1" x14ac:dyDescent="0.45">
      <c r="A88" s="17">
        <v>4</v>
      </c>
    </row>
    <row r="89" spans="1:1" x14ac:dyDescent="0.45">
      <c r="A89" s="17">
        <v>4</v>
      </c>
    </row>
    <row r="90" spans="1:1" x14ac:dyDescent="0.45">
      <c r="A90" s="17">
        <v>0</v>
      </c>
    </row>
    <row r="91" spans="1:1" x14ac:dyDescent="0.45">
      <c r="A91" s="17">
        <v>6</v>
      </c>
    </row>
    <row r="92" spans="1:1" x14ac:dyDescent="0.45">
      <c r="A92" s="17">
        <v>3</v>
      </c>
    </row>
    <row r="93" spans="1:1" x14ac:dyDescent="0.45">
      <c r="A93" s="17">
        <v>1</v>
      </c>
    </row>
    <row r="94" spans="1:1" x14ac:dyDescent="0.45">
      <c r="A94" s="17">
        <v>3</v>
      </c>
    </row>
    <row r="95" spans="1:1" x14ac:dyDescent="0.45">
      <c r="A95" s="17">
        <v>4</v>
      </c>
    </row>
    <row r="96" spans="1:1" x14ac:dyDescent="0.45">
      <c r="A96" s="17">
        <v>1</v>
      </c>
    </row>
    <row r="97" spans="1:1" x14ac:dyDescent="0.45">
      <c r="A97" s="17">
        <v>6</v>
      </c>
    </row>
    <row r="98" spans="1:1" x14ac:dyDescent="0.45">
      <c r="A98" s="17">
        <v>6</v>
      </c>
    </row>
    <row r="99" spans="1:1" x14ac:dyDescent="0.45">
      <c r="A99" s="17">
        <v>0</v>
      </c>
    </row>
    <row r="100" spans="1:1" x14ac:dyDescent="0.45">
      <c r="A100" s="17">
        <v>3</v>
      </c>
    </row>
    <row r="101" spans="1:1" x14ac:dyDescent="0.45">
      <c r="A101" s="17">
        <v>0</v>
      </c>
    </row>
    <row r="102" spans="1:1" x14ac:dyDescent="0.45">
      <c r="A102" s="17">
        <v>0</v>
      </c>
    </row>
    <row r="103" spans="1:1" x14ac:dyDescent="0.45">
      <c r="A103" s="17">
        <v>4</v>
      </c>
    </row>
    <row r="104" spans="1:1" x14ac:dyDescent="0.45">
      <c r="A104" s="17">
        <v>2</v>
      </c>
    </row>
    <row r="105" spans="1:1" x14ac:dyDescent="0.45">
      <c r="A105" s="17">
        <v>2</v>
      </c>
    </row>
    <row r="106" spans="1:1" x14ac:dyDescent="0.45">
      <c r="A106" s="17">
        <v>5</v>
      </c>
    </row>
    <row r="107" spans="1:1" x14ac:dyDescent="0.45">
      <c r="A107" s="17">
        <v>6</v>
      </c>
    </row>
    <row r="108" spans="1:1" x14ac:dyDescent="0.45">
      <c r="A108" s="17">
        <v>2</v>
      </c>
    </row>
    <row r="109" spans="1:1" x14ac:dyDescent="0.45">
      <c r="A109" s="17">
        <v>6</v>
      </c>
    </row>
    <row r="110" spans="1:1" x14ac:dyDescent="0.45">
      <c r="A110" s="17">
        <v>2</v>
      </c>
    </row>
    <row r="111" spans="1:1" x14ac:dyDescent="0.45">
      <c r="A111" s="17">
        <v>5</v>
      </c>
    </row>
    <row r="112" spans="1:1" x14ac:dyDescent="0.45">
      <c r="A112" s="17">
        <v>6</v>
      </c>
    </row>
    <row r="113" spans="1:1" x14ac:dyDescent="0.45">
      <c r="A113" s="17">
        <v>5</v>
      </c>
    </row>
    <row r="114" spans="1:1" x14ac:dyDescent="0.45">
      <c r="A114" s="17">
        <v>0</v>
      </c>
    </row>
    <row r="115" spans="1:1" x14ac:dyDescent="0.45">
      <c r="A115" s="17">
        <v>4</v>
      </c>
    </row>
    <row r="116" spans="1:1" x14ac:dyDescent="0.45">
      <c r="A116" s="17">
        <v>1</v>
      </c>
    </row>
    <row r="117" spans="1:1" x14ac:dyDescent="0.45">
      <c r="A117" s="17">
        <v>0</v>
      </c>
    </row>
    <row r="118" spans="1:1" x14ac:dyDescent="0.45">
      <c r="A118" s="17">
        <v>2</v>
      </c>
    </row>
    <row r="119" spans="1:1" x14ac:dyDescent="0.45">
      <c r="A119" s="17">
        <v>6</v>
      </c>
    </row>
    <row r="120" spans="1:1" x14ac:dyDescent="0.45">
      <c r="A120" s="17">
        <v>2</v>
      </c>
    </row>
    <row r="121" spans="1:1" x14ac:dyDescent="0.45">
      <c r="A121" s="17">
        <v>0</v>
      </c>
    </row>
    <row r="122" spans="1:1" x14ac:dyDescent="0.45">
      <c r="A122" s="17">
        <v>0</v>
      </c>
    </row>
    <row r="123" spans="1:1" x14ac:dyDescent="0.45">
      <c r="A123" s="17">
        <v>6</v>
      </c>
    </row>
    <row r="124" spans="1:1" x14ac:dyDescent="0.45">
      <c r="A124" s="17">
        <v>0</v>
      </c>
    </row>
    <row r="125" spans="1:1" x14ac:dyDescent="0.45">
      <c r="A125" s="17">
        <v>5</v>
      </c>
    </row>
    <row r="126" spans="1:1" x14ac:dyDescent="0.45">
      <c r="A126" s="17">
        <v>0</v>
      </c>
    </row>
    <row r="127" spans="1:1" x14ac:dyDescent="0.45">
      <c r="A127" s="17">
        <v>6</v>
      </c>
    </row>
    <row r="128" spans="1:1" x14ac:dyDescent="0.45">
      <c r="A128" s="17">
        <v>3</v>
      </c>
    </row>
    <row r="129" spans="1:1" x14ac:dyDescent="0.45">
      <c r="A129" s="17">
        <v>4</v>
      </c>
    </row>
    <row r="130" spans="1:1" x14ac:dyDescent="0.45">
      <c r="A130" s="17">
        <v>6</v>
      </c>
    </row>
    <row r="131" spans="1:1" x14ac:dyDescent="0.45">
      <c r="A131" s="17">
        <v>0</v>
      </c>
    </row>
    <row r="132" spans="1:1" x14ac:dyDescent="0.45">
      <c r="A132" s="17">
        <v>2</v>
      </c>
    </row>
    <row r="133" spans="1:1" x14ac:dyDescent="0.45">
      <c r="A133" s="17">
        <v>5</v>
      </c>
    </row>
  </sheetData>
  <autoFilter ref="A13:A133" xr:uid="{973D6BC6-42E4-4D25-9EA7-86C78E269EFF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7F0-DE04-47AD-9257-164FE2A6C8FC}">
  <dimension ref="A9:J59"/>
  <sheetViews>
    <sheetView topLeftCell="A22" zoomScale="85" zoomScaleNormal="85" workbookViewId="0">
      <selection activeCell="I26" sqref="I26"/>
    </sheetView>
  </sheetViews>
  <sheetFormatPr defaultRowHeight="14.25" x14ac:dyDescent="0.45"/>
  <cols>
    <col min="6" max="6" width="11.86328125" customWidth="1"/>
  </cols>
  <sheetData>
    <row r="9" spans="1:5" x14ac:dyDescent="0.45">
      <c r="A9" s="1" t="s">
        <v>0</v>
      </c>
    </row>
    <row r="10" spans="1:5" x14ac:dyDescent="0.45">
      <c r="A10">
        <v>2.89</v>
      </c>
      <c r="C10" t="s">
        <v>33</v>
      </c>
    </row>
    <row r="11" spans="1:5" x14ac:dyDescent="0.45">
      <c r="A11">
        <v>2.94</v>
      </c>
      <c r="C11" t="s">
        <v>34</v>
      </c>
    </row>
    <row r="12" spans="1:5" x14ac:dyDescent="0.45">
      <c r="A12">
        <v>3.4</v>
      </c>
    </row>
    <row r="13" spans="1:5" x14ac:dyDescent="0.45">
      <c r="A13">
        <v>3.45</v>
      </c>
      <c r="C13" t="s">
        <v>18</v>
      </c>
      <c r="E13">
        <f>COUNT(A10:A59)</f>
        <v>50</v>
      </c>
    </row>
    <row r="14" spans="1:5" x14ac:dyDescent="0.45">
      <c r="A14">
        <v>3.24</v>
      </c>
      <c r="C14" t="s">
        <v>36</v>
      </c>
    </row>
    <row r="15" spans="1:5" x14ac:dyDescent="0.45">
      <c r="A15">
        <v>3.14</v>
      </c>
      <c r="C15" t="s">
        <v>35</v>
      </c>
      <c r="E15">
        <f>INT(LOG(50,2))+1</f>
        <v>6</v>
      </c>
    </row>
    <row r="16" spans="1:5" x14ac:dyDescent="0.45">
      <c r="A16">
        <v>3.12</v>
      </c>
    </row>
    <row r="17" spans="1:10" x14ac:dyDescent="0.45">
      <c r="A17">
        <v>3.03</v>
      </c>
      <c r="C17" t="s">
        <v>37</v>
      </c>
      <c r="D17">
        <f>MIN(A10:A59)</f>
        <v>2.56</v>
      </c>
    </row>
    <row r="18" spans="1:10" x14ac:dyDescent="0.45">
      <c r="A18">
        <v>3.28</v>
      </c>
      <c r="C18" t="s">
        <v>38</v>
      </c>
      <c r="D18">
        <f>MAX(A10:A59)</f>
        <v>3.48</v>
      </c>
    </row>
    <row r="19" spans="1:10" x14ac:dyDescent="0.45">
      <c r="A19">
        <v>3.12</v>
      </c>
    </row>
    <row r="20" spans="1:10" x14ac:dyDescent="0.45">
      <c r="A20">
        <v>3.21</v>
      </c>
      <c r="C20" t="s">
        <v>39</v>
      </c>
    </row>
    <row r="21" spans="1:10" x14ac:dyDescent="0.45">
      <c r="A21">
        <v>3.17</v>
      </c>
      <c r="C21">
        <f>(D18-D17)/6</f>
        <v>0.15333333333333332</v>
      </c>
      <c r="D21">
        <v>0.16</v>
      </c>
      <c r="F21" s="2"/>
    </row>
    <row r="22" spans="1:10" x14ac:dyDescent="0.45">
      <c r="A22">
        <v>3.02</v>
      </c>
      <c r="F22" s="2"/>
      <c r="H22" s="6"/>
      <c r="J22" s="9"/>
    </row>
    <row r="23" spans="1:10" x14ac:dyDescent="0.45">
      <c r="A23">
        <v>2.94</v>
      </c>
      <c r="C23" t="s">
        <v>40</v>
      </c>
      <c r="F23" s="2" t="s">
        <v>45</v>
      </c>
      <c r="H23" s="6"/>
      <c r="J23" s="9"/>
    </row>
    <row r="24" spans="1:10" x14ac:dyDescent="0.45">
      <c r="A24">
        <v>3</v>
      </c>
      <c r="C24">
        <v>2.5499999999999998</v>
      </c>
      <c r="E24" t="s">
        <v>41</v>
      </c>
      <c r="F24" s="2" t="s">
        <v>11</v>
      </c>
      <c r="G24" t="s">
        <v>12</v>
      </c>
      <c r="H24" s="6" t="s">
        <v>42</v>
      </c>
      <c r="I24" t="s">
        <v>43</v>
      </c>
      <c r="J24" s="9"/>
    </row>
    <row r="25" spans="1:10" x14ac:dyDescent="0.45">
      <c r="A25">
        <v>2.72</v>
      </c>
      <c r="C25">
        <f>C24+0.16</f>
        <v>2.71</v>
      </c>
      <c r="E25" t="str">
        <f>CONCATENATE("]",C24,";",C25,"]")</f>
        <v>]2,55;2,71]</v>
      </c>
      <c r="F25" s="2">
        <f t="array" ref="F25:F30">FREQUENCY(A10:A59,C25:C30)</f>
        <v>3</v>
      </c>
      <c r="G25" s="7">
        <f>F25/50</f>
        <v>0.06</v>
      </c>
      <c r="H25" s="24">
        <f>F25</f>
        <v>3</v>
      </c>
      <c r="I25" s="25">
        <f>G25</f>
        <v>0.06</v>
      </c>
      <c r="J25" s="9"/>
    </row>
    <row r="26" spans="1:10" x14ac:dyDescent="0.45">
      <c r="A26">
        <v>3.01</v>
      </c>
      <c r="C26">
        <f t="shared" ref="C26:C30" si="0">C25+0.16</f>
        <v>2.87</v>
      </c>
      <c r="E26" t="str">
        <f t="shared" ref="E26:E30" si="1">CONCATENATE("]",C25,";",C26,"]")</f>
        <v>]2,71;2,87]</v>
      </c>
      <c r="F26" s="2">
        <v>8</v>
      </c>
      <c r="G26" s="7">
        <f t="shared" ref="G26:G30" si="2">F26/50</f>
        <v>0.16</v>
      </c>
      <c r="H26" s="24">
        <f>H25+F26</f>
        <v>11</v>
      </c>
      <c r="I26" s="25">
        <f>I25+G26</f>
        <v>0.22</v>
      </c>
      <c r="J26" s="9"/>
    </row>
    <row r="27" spans="1:10" x14ac:dyDescent="0.45">
      <c r="A27">
        <v>2.96</v>
      </c>
      <c r="C27">
        <f t="shared" si="0"/>
        <v>3.0300000000000002</v>
      </c>
      <c r="E27" t="str">
        <f t="shared" si="1"/>
        <v>]2,87;3,03]</v>
      </c>
      <c r="F27" s="2">
        <v>19</v>
      </c>
      <c r="G27" s="7">
        <f t="shared" si="2"/>
        <v>0.38</v>
      </c>
      <c r="H27" s="24">
        <f t="shared" ref="H27:H30" si="3">H26+F27</f>
        <v>30</v>
      </c>
      <c r="I27" s="25">
        <f t="shared" ref="I27:I30" si="4">I26+G27</f>
        <v>0.6</v>
      </c>
      <c r="J27" s="9"/>
    </row>
    <row r="28" spans="1:10" x14ac:dyDescent="0.45">
      <c r="A28">
        <v>3</v>
      </c>
      <c r="C28">
        <f t="shared" si="0"/>
        <v>3.1900000000000004</v>
      </c>
      <c r="E28" t="str">
        <f t="shared" si="1"/>
        <v>]3,03;3,19]</v>
      </c>
      <c r="F28" s="2">
        <v>8</v>
      </c>
      <c r="G28" s="7">
        <f t="shared" si="2"/>
        <v>0.16</v>
      </c>
      <c r="H28" s="24">
        <f t="shared" si="3"/>
        <v>38</v>
      </c>
      <c r="I28" s="25">
        <f t="shared" si="4"/>
        <v>0.76</v>
      </c>
    </row>
    <row r="29" spans="1:10" x14ac:dyDescent="0.45">
      <c r="A29">
        <v>3.25</v>
      </c>
      <c r="C29">
        <f t="shared" si="0"/>
        <v>3.3500000000000005</v>
      </c>
      <c r="E29" t="str">
        <f t="shared" si="1"/>
        <v>]3,19;3,35]</v>
      </c>
      <c r="F29" s="2">
        <v>9</v>
      </c>
      <c r="G29" s="7">
        <f t="shared" si="2"/>
        <v>0.18</v>
      </c>
      <c r="H29" s="24">
        <f t="shared" si="3"/>
        <v>47</v>
      </c>
      <c r="I29" s="25">
        <f t="shared" si="4"/>
        <v>0.94</v>
      </c>
    </row>
    <row r="30" spans="1:10" x14ac:dyDescent="0.45">
      <c r="A30">
        <v>2.73</v>
      </c>
      <c r="C30">
        <f t="shared" si="0"/>
        <v>3.5100000000000007</v>
      </c>
      <c r="E30" t="str">
        <f t="shared" si="1"/>
        <v>]3,35;3,51]</v>
      </c>
      <c r="F30" s="2">
        <v>3</v>
      </c>
      <c r="G30" s="7">
        <f t="shared" si="2"/>
        <v>0.06</v>
      </c>
      <c r="H30" s="24">
        <f t="shared" si="3"/>
        <v>50</v>
      </c>
      <c r="I30" s="25">
        <f t="shared" si="4"/>
        <v>1</v>
      </c>
    </row>
    <row r="31" spans="1:10" x14ac:dyDescent="0.45">
      <c r="A31">
        <v>2.86</v>
      </c>
      <c r="E31" t="s">
        <v>21</v>
      </c>
      <c r="F31" s="2">
        <f>SUM(F25:F30)</f>
        <v>50</v>
      </c>
      <c r="G31" s="25">
        <f>SUM(G25:G30)</f>
        <v>1</v>
      </c>
    </row>
    <row r="32" spans="1:10" x14ac:dyDescent="0.45">
      <c r="A32">
        <v>2.99</v>
      </c>
    </row>
    <row r="33" spans="1:3" x14ac:dyDescent="0.45">
      <c r="A33">
        <v>2.97</v>
      </c>
      <c r="C33" t="s">
        <v>44</v>
      </c>
    </row>
    <row r="34" spans="1:3" x14ac:dyDescent="0.45">
      <c r="A34">
        <v>3.48</v>
      </c>
    </row>
    <row r="35" spans="1:3" x14ac:dyDescent="0.45">
      <c r="A35">
        <v>2.96</v>
      </c>
    </row>
    <row r="36" spans="1:3" x14ac:dyDescent="0.45">
      <c r="A36">
        <v>2.57</v>
      </c>
    </row>
    <row r="37" spans="1:3" x14ac:dyDescent="0.45">
      <c r="A37">
        <v>2.87</v>
      </c>
    </row>
    <row r="38" spans="1:3" x14ac:dyDescent="0.45">
      <c r="A38">
        <v>3.24</v>
      </c>
    </row>
    <row r="39" spans="1:3" x14ac:dyDescent="0.45">
      <c r="A39">
        <v>2.88</v>
      </c>
    </row>
    <row r="40" spans="1:3" x14ac:dyDescent="0.45">
      <c r="A40">
        <v>3.19</v>
      </c>
    </row>
    <row r="41" spans="1:3" x14ac:dyDescent="0.45">
      <c r="A41">
        <v>2.7</v>
      </c>
    </row>
    <row r="42" spans="1:3" x14ac:dyDescent="0.45">
      <c r="A42">
        <v>3.26</v>
      </c>
    </row>
    <row r="43" spans="1:3" x14ac:dyDescent="0.45">
      <c r="A43">
        <v>2.96</v>
      </c>
    </row>
    <row r="44" spans="1:3" x14ac:dyDescent="0.45">
      <c r="A44">
        <v>2.94</v>
      </c>
    </row>
    <row r="45" spans="1:3" x14ac:dyDescent="0.45">
      <c r="A45">
        <v>3.14</v>
      </c>
    </row>
    <row r="46" spans="1:3" x14ac:dyDescent="0.45">
      <c r="A46">
        <v>3.21</v>
      </c>
    </row>
    <row r="47" spans="1:3" x14ac:dyDescent="0.45">
      <c r="A47">
        <v>2.9</v>
      </c>
    </row>
    <row r="48" spans="1:3" x14ac:dyDescent="0.45">
      <c r="A48">
        <v>2.79</v>
      </c>
    </row>
    <row r="49" spans="1:1" x14ac:dyDescent="0.45">
      <c r="A49">
        <v>3.29</v>
      </c>
    </row>
    <row r="50" spans="1:1" x14ac:dyDescent="0.45">
      <c r="A50">
        <v>2.98</v>
      </c>
    </row>
    <row r="51" spans="1:1" x14ac:dyDescent="0.45">
      <c r="A51">
        <v>3.1</v>
      </c>
    </row>
    <row r="52" spans="1:1" x14ac:dyDescent="0.45">
      <c r="A52">
        <v>3.22</v>
      </c>
    </row>
    <row r="53" spans="1:1" x14ac:dyDescent="0.45">
      <c r="A53">
        <v>2.75</v>
      </c>
    </row>
    <row r="54" spans="1:1" x14ac:dyDescent="0.45">
      <c r="A54">
        <v>2.92</v>
      </c>
    </row>
    <row r="55" spans="1:1" x14ac:dyDescent="0.45">
      <c r="A55">
        <v>3.04</v>
      </c>
    </row>
    <row r="56" spans="1:1" x14ac:dyDescent="0.45">
      <c r="A56">
        <v>2.56</v>
      </c>
    </row>
    <row r="57" spans="1:1" x14ac:dyDescent="0.45">
      <c r="A57">
        <v>3.02</v>
      </c>
    </row>
    <row r="58" spans="1:1" x14ac:dyDescent="0.45">
      <c r="A58">
        <v>2.82</v>
      </c>
    </row>
    <row r="59" spans="1:1" x14ac:dyDescent="0.45">
      <c r="A59">
        <v>2.85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41E9-F0A3-4EC3-97E8-75756D58D4FE}">
  <dimension ref="A16:L122"/>
  <sheetViews>
    <sheetView topLeftCell="C50" zoomScale="115" zoomScaleNormal="115" workbookViewId="0">
      <selection activeCell="H70" sqref="H70"/>
    </sheetView>
  </sheetViews>
  <sheetFormatPr defaultRowHeight="14.25" x14ac:dyDescent="0.45"/>
  <cols>
    <col min="1" max="1" width="14.3984375" customWidth="1"/>
    <col min="3" max="3" width="17.73046875" customWidth="1"/>
    <col min="9" max="9" width="10.46484375" bestFit="1" customWidth="1"/>
  </cols>
  <sheetData>
    <row r="16" spans="1:4" x14ac:dyDescent="0.45">
      <c r="A16" s="8" t="s">
        <v>0</v>
      </c>
      <c r="D16" t="s">
        <v>50</v>
      </c>
    </row>
    <row r="17" spans="1:10" x14ac:dyDescent="0.45">
      <c r="A17" s="2">
        <v>9</v>
      </c>
      <c r="D17" t="s">
        <v>34</v>
      </c>
    </row>
    <row r="18" spans="1:10" x14ac:dyDescent="0.45">
      <c r="A18" s="2">
        <v>7</v>
      </c>
    </row>
    <row r="19" spans="1:10" x14ac:dyDescent="0.45">
      <c r="A19" s="2">
        <v>5</v>
      </c>
      <c r="C19" s="1"/>
      <c r="D19" t="s">
        <v>51</v>
      </c>
      <c r="F19">
        <f>COUNT(A17:A122)</f>
        <v>106</v>
      </c>
    </row>
    <row r="20" spans="1:10" x14ac:dyDescent="0.45">
      <c r="A20" s="2">
        <v>10</v>
      </c>
    </row>
    <row r="21" spans="1:10" x14ac:dyDescent="0.45">
      <c r="A21" s="2">
        <v>9</v>
      </c>
      <c r="D21" t="s">
        <v>52</v>
      </c>
      <c r="F21">
        <f>INT(LOG(106,2))+1</f>
        <v>7</v>
      </c>
    </row>
    <row r="22" spans="1:10" x14ac:dyDescent="0.45">
      <c r="A22" s="2">
        <v>9</v>
      </c>
      <c r="C22" s="1"/>
      <c r="D22" s="1" t="s">
        <v>53</v>
      </c>
    </row>
    <row r="23" spans="1:10" x14ac:dyDescent="0.45">
      <c r="A23" s="2">
        <v>6</v>
      </c>
    </row>
    <row r="24" spans="1:10" x14ac:dyDescent="0.45">
      <c r="A24" s="2">
        <v>7</v>
      </c>
      <c r="D24" t="s">
        <v>54</v>
      </c>
      <c r="E24">
        <f>MIN(A17:A122)</f>
        <v>5</v>
      </c>
    </row>
    <row r="25" spans="1:10" x14ac:dyDescent="0.45">
      <c r="A25" s="2">
        <v>10</v>
      </c>
      <c r="D25" t="s">
        <v>55</v>
      </c>
      <c r="E25">
        <f>MAX(A17:A122)</f>
        <v>44</v>
      </c>
    </row>
    <row r="26" spans="1:10" x14ac:dyDescent="0.45">
      <c r="A26" s="2">
        <v>6</v>
      </c>
    </row>
    <row r="27" spans="1:10" x14ac:dyDescent="0.45">
      <c r="A27" s="2">
        <v>7</v>
      </c>
      <c r="C27" s="1"/>
      <c r="D27" t="s">
        <v>56</v>
      </c>
      <c r="E27" s="23"/>
      <c r="F27" s="23"/>
      <c r="G27" s="23"/>
      <c r="H27" s="23"/>
      <c r="I27" s="23"/>
    </row>
    <row r="28" spans="1:10" x14ac:dyDescent="0.45">
      <c r="A28" s="2">
        <v>10</v>
      </c>
      <c r="D28">
        <f>(E25-E24)/7</f>
        <v>5.5714285714285712</v>
      </c>
      <c r="E28" s="20">
        <v>6</v>
      </c>
      <c r="F28" s="20"/>
      <c r="G28" s="20"/>
      <c r="H28" s="20"/>
      <c r="I28" s="20"/>
    </row>
    <row r="29" spans="1:10" x14ac:dyDescent="0.45">
      <c r="A29" s="2">
        <v>10</v>
      </c>
      <c r="E29" s="21"/>
      <c r="F29" s="21"/>
      <c r="G29" s="26" t="s">
        <v>58</v>
      </c>
      <c r="H29" s="21"/>
      <c r="I29" s="22"/>
    </row>
    <row r="30" spans="1:10" x14ac:dyDescent="0.45">
      <c r="A30" s="2">
        <v>9</v>
      </c>
      <c r="D30" t="s">
        <v>57</v>
      </c>
      <c r="E30" s="21"/>
      <c r="F30" s="21"/>
      <c r="G30" t="s">
        <v>95</v>
      </c>
      <c r="H30" s="21"/>
      <c r="I30" s="22"/>
    </row>
    <row r="31" spans="1:10" ht="14.65" thickBot="1" x14ac:dyDescent="0.5">
      <c r="A31" s="2">
        <v>6</v>
      </c>
      <c r="D31">
        <v>4</v>
      </c>
      <c r="E31" s="21"/>
      <c r="F31" s="38" t="s">
        <v>41</v>
      </c>
      <c r="G31" s="39" t="s">
        <v>11</v>
      </c>
      <c r="H31" s="40" t="s">
        <v>12</v>
      </c>
      <c r="I31" s="41" t="s">
        <v>42</v>
      </c>
      <c r="J31" s="42" t="s">
        <v>43</v>
      </c>
    </row>
    <row r="32" spans="1:10" ht="14.65" thickBot="1" x14ac:dyDescent="0.5">
      <c r="A32" s="2">
        <v>5</v>
      </c>
      <c r="D32">
        <f>D31+6</f>
        <v>10</v>
      </c>
      <c r="E32" s="21"/>
      <c r="F32" s="43" t="str">
        <f>CONCATENATE("]",D31,",",D32,"]")</f>
        <v>]4,10]</v>
      </c>
      <c r="G32" s="44">
        <f t="array" ref="G32:G38">FREQUENCY(A17:A122,D32:D38)</f>
        <v>16</v>
      </c>
      <c r="H32" s="45">
        <f>G32/106</f>
        <v>0.15094339622641509</v>
      </c>
      <c r="I32" s="44">
        <f>G32</f>
        <v>16</v>
      </c>
      <c r="J32" s="46">
        <f>H32</f>
        <v>0.15094339622641509</v>
      </c>
    </row>
    <row r="33" spans="1:10" ht="14.65" thickBot="1" x14ac:dyDescent="0.5">
      <c r="A33" s="2">
        <v>15</v>
      </c>
      <c r="D33">
        <f t="shared" ref="D33:D38" si="0">D32+6</f>
        <v>16</v>
      </c>
      <c r="E33" s="21"/>
      <c r="F33" s="43" t="str">
        <f t="shared" ref="F33:F38" si="1">CONCATENATE("]",D32,",",D33,"]")</f>
        <v>]10,16]</v>
      </c>
      <c r="G33" s="47">
        <v>34</v>
      </c>
      <c r="H33" s="45">
        <f t="shared" ref="H33:H38" si="2">G33/106</f>
        <v>0.32075471698113206</v>
      </c>
      <c r="I33" s="44">
        <f>I32+G33</f>
        <v>50</v>
      </c>
      <c r="J33" s="46">
        <f>J32+H33</f>
        <v>0.47169811320754718</v>
      </c>
    </row>
    <row r="34" spans="1:10" ht="14.65" thickBot="1" x14ac:dyDescent="0.5">
      <c r="A34" s="2">
        <v>11</v>
      </c>
      <c r="D34">
        <f t="shared" si="0"/>
        <v>22</v>
      </c>
      <c r="E34" s="21"/>
      <c r="F34" s="43" t="str">
        <f t="shared" si="1"/>
        <v>]16,22]</v>
      </c>
      <c r="G34" s="47">
        <v>18</v>
      </c>
      <c r="H34" s="45">
        <f t="shared" si="2"/>
        <v>0.16981132075471697</v>
      </c>
      <c r="I34" s="44">
        <f t="shared" ref="I34:I38" si="3">I33+G34</f>
        <v>68</v>
      </c>
      <c r="J34" s="46">
        <f t="shared" ref="J34:J38" si="4">J33+H34</f>
        <v>0.64150943396226412</v>
      </c>
    </row>
    <row r="35" spans="1:10" ht="14.65" thickBot="1" x14ac:dyDescent="0.5">
      <c r="A35" s="2">
        <v>13</v>
      </c>
      <c r="D35">
        <f t="shared" si="0"/>
        <v>28</v>
      </c>
      <c r="E35" s="21"/>
      <c r="F35" s="43" t="str">
        <f t="shared" si="1"/>
        <v>]22,28]</v>
      </c>
      <c r="G35" s="47">
        <v>22</v>
      </c>
      <c r="H35" s="45">
        <f t="shared" si="2"/>
        <v>0.20754716981132076</v>
      </c>
      <c r="I35" s="44">
        <f t="shared" si="3"/>
        <v>90</v>
      </c>
      <c r="J35" s="46">
        <f t="shared" si="4"/>
        <v>0.84905660377358494</v>
      </c>
    </row>
    <row r="36" spans="1:10" ht="14.65" thickBot="1" x14ac:dyDescent="0.5">
      <c r="A36" s="2">
        <v>12</v>
      </c>
      <c r="D36">
        <f t="shared" si="0"/>
        <v>34</v>
      </c>
      <c r="F36" s="43" t="str">
        <f t="shared" si="1"/>
        <v>]28,34]</v>
      </c>
      <c r="G36" s="48">
        <v>7</v>
      </c>
      <c r="H36" s="45">
        <f t="shared" si="2"/>
        <v>6.6037735849056603E-2</v>
      </c>
      <c r="I36" s="44">
        <f t="shared" si="3"/>
        <v>97</v>
      </c>
      <c r="J36" s="46">
        <f t="shared" si="4"/>
        <v>0.91509433962264153</v>
      </c>
    </row>
    <row r="37" spans="1:10" ht="14.65" thickBot="1" x14ac:dyDescent="0.5">
      <c r="A37" s="2">
        <v>14</v>
      </c>
      <c r="D37">
        <f t="shared" si="0"/>
        <v>40</v>
      </c>
      <c r="F37" s="43" t="str">
        <f t="shared" si="1"/>
        <v>]34,40]</v>
      </c>
      <c r="G37" s="48">
        <v>6</v>
      </c>
      <c r="H37" s="45">
        <f t="shared" si="2"/>
        <v>5.6603773584905662E-2</v>
      </c>
      <c r="I37" s="44">
        <f t="shared" si="3"/>
        <v>103</v>
      </c>
      <c r="J37" s="46">
        <f t="shared" si="4"/>
        <v>0.97169811320754718</v>
      </c>
    </row>
    <row r="38" spans="1:10" x14ac:dyDescent="0.45">
      <c r="A38" s="2">
        <v>15</v>
      </c>
      <c r="C38" s="1"/>
      <c r="D38">
        <f t="shared" si="0"/>
        <v>46</v>
      </c>
      <c r="F38" s="49" t="str">
        <f t="shared" si="1"/>
        <v>]40,46]</v>
      </c>
      <c r="G38" s="50">
        <v>3</v>
      </c>
      <c r="H38" s="51">
        <f t="shared" si="2"/>
        <v>2.8301886792452831E-2</v>
      </c>
      <c r="I38" s="52">
        <f t="shared" si="3"/>
        <v>106</v>
      </c>
      <c r="J38" s="53">
        <f t="shared" si="4"/>
        <v>1</v>
      </c>
    </row>
    <row r="39" spans="1:10" x14ac:dyDescent="0.45">
      <c r="A39" s="2">
        <v>15</v>
      </c>
      <c r="C39" s="1"/>
      <c r="G39" s="24"/>
      <c r="H39" s="29"/>
      <c r="I39" s="27"/>
      <c r="J39" s="25"/>
    </row>
    <row r="40" spans="1:10" x14ac:dyDescent="0.45">
      <c r="A40" s="2">
        <v>15</v>
      </c>
      <c r="F40" t="s">
        <v>21</v>
      </c>
      <c r="G40" s="28">
        <f>SUM(G32:G38)</f>
        <v>106</v>
      </c>
      <c r="H40" s="25">
        <f>SUM(H32:H38)</f>
        <v>1</v>
      </c>
    </row>
    <row r="41" spans="1:10" x14ac:dyDescent="0.45">
      <c r="A41" s="2">
        <v>12</v>
      </c>
    </row>
    <row r="42" spans="1:10" x14ac:dyDescent="0.45">
      <c r="A42" s="2">
        <v>14</v>
      </c>
      <c r="D42" t="s">
        <v>99</v>
      </c>
    </row>
    <row r="43" spans="1:10" x14ac:dyDescent="0.45">
      <c r="A43" s="2">
        <v>14</v>
      </c>
    </row>
    <row r="44" spans="1:10" x14ac:dyDescent="0.45">
      <c r="A44" s="2">
        <v>13</v>
      </c>
    </row>
    <row r="45" spans="1:10" x14ac:dyDescent="0.45">
      <c r="A45" s="2">
        <v>15</v>
      </c>
    </row>
    <row r="46" spans="1:10" x14ac:dyDescent="0.45">
      <c r="A46" s="2">
        <v>13</v>
      </c>
    </row>
    <row r="47" spans="1:10" x14ac:dyDescent="0.45">
      <c r="A47" s="2">
        <v>15</v>
      </c>
    </row>
    <row r="48" spans="1:10" x14ac:dyDescent="0.45">
      <c r="A48" s="2">
        <v>14</v>
      </c>
    </row>
    <row r="49" spans="1:12" x14ac:dyDescent="0.45">
      <c r="A49" s="2">
        <v>12</v>
      </c>
    </row>
    <row r="50" spans="1:12" x14ac:dyDescent="0.45">
      <c r="A50" s="2">
        <v>13</v>
      </c>
    </row>
    <row r="51" spans="1:12" x14ac:dyDescent="0.45">
      <c r="A51" s="2">
        <v>14</v>
      </c>
    </row>
    <row r="52" spans="1:12" x14ac:dyDescent="0.45">
      <c r="A52" s="2">
        <v>12</v>
      </c>
    </row>
    <row r="53" spans="1:12" x14ac:dyDescent="0.45">
      <c r="A53" s="2">
        <v>14</v>
      </c>
    </row>
    <row r="54" spans="1:12" x14ac:dyDescent="0.45">
      <c r="A54" s="2">
        <v>12</v>
      </c>
    </row>
    <row r="55" spans="1:12" x14ac:dyDescent="0.45">
      <c r="A55" s="2">
        <v>13</v>
      </c>
    </row>
    <row r="56" spans="1:12" x14ac:dyDescent="0.45">
      <c r="A56" s="2">
        <v>13</v>
      </c>
    </row>
    <row r="57" spans="1:12" x14ac:dyDescent="0.45">
      <c r="A57" s="2">
        <v>11</v>
      </c>
      <c r="K57" s="16"/>
      <c r="L57" s="16"/>
    </row>
    <row r="58" spans="1:12" x14ac:dyDescent="0.45">
      <c r="A58" s="2">
        <v>14</v>
      </c>
    </row>
    <row r="59" spans="1:12" ht="14.65" thickBot="1" x14ac:dyDescent="0.5">
      <c r="A59" s="2">
        <v>13</v>
      </c>
    </row>
    <row r="60" spans="1:12" x14ac:dyDescent="0.45">
      <c r="A60" s="2">
        <v>13</v>
      </c>
      <c r="E60" s="32" t="s">
        <v>73</v>
      </c>
      <c r="F60" s="32"/>
      <c r="H60" t="s">
        <v>61</v>
      </c>
      <c r="I60" t="s">
        <v>101</v>
      </c>
      <c r="K60" t="s">
        <v>103</v>
      </c>
    </row>
    <row r="61" spans="1:12" x14ac:dyDescent="0.45">
      <c r="A61" s="2">
        <v>17</v>
      </c>
      <c r="I61" t="s">
        <v>102</v>
      </c>
      <c r="K61" t="s">
        <v>104</v>
      </c>
    </row>
    <row r="62" spans="1:12" x14ac:dyDescent="0.45">
      <c r="A62" s="2">
        <v>21</v>
      </c>
      <c r="E62" t="s">
        <v>74</v>
      </c>
      <c r="F62">
        <v>19.528301886792452</v>
      </c>
    </row>
    <row r="63" spans="1:12" x14ac:dyDescent="0.45">
      <c r="A63" s="2">
        <v>18</v>
      </c>
      <c r="E63" t="s">
        <v>75</v>
      </c>
      <c r="F63">
        <v>0.88159859978089539</v>
      </c>
    </row>
    <row r="64" spans="1:12" x14ac:dyDescent="0.45">
      <c r="A64" s="2">
        <v>19</v>
      </c>
      <c r="E64" t="s">
        <v>76</v>
      </c>
      <c r="F64">
        <v>17.5</v>
      </c>
      <c r="H64" t="s">
        <v>96</v>
      </c>
      <c r="I64" t="s">
        <v>105</v>
      </c>
      <c r="J64">
        <f>F72-F71</f>
        <v>39</v>
      </c>
    </row>
    <row r="65" spans="1:10" x14ac:dyDescent="0.45">
      <c r="A65" s="2">
        <v>23</v>
      </c>
      <c r="E65" t="s">
        <v>77</v>
      </c>
      <c r="F65">
        <v>13</v>
      </c>
      <c r="I65" t="s">
        <v>97</v>
      </c>
      <c r="J65">
        <v>82.38</v>
      </c>
    </row>
    <row r="66" spans="1:10" x14ac:dyDescent="0.45">
      <c r="A66" s="2">
        <v>25</v>
      </c>
      <c r="E66" t="s">
        <v>78</v>
      </c>
      <c r="F66">
        <v>9.0766131161561194</v>
      </c>
      <c r="I66" t="s">
        <v>98</v>
      </c>
      <c r="J66">
        <v>9.077</v>
      </c>
    </row>
    <row r="67" spans="1:10" x14ac:dyDescent="0.45">
      <c r="A67" s="2">
        <v>24</v>
      </c>
      <c r="E67" t="s">
        <v>79</v>
      </c>
      <c r="F67">
        <v>82.384905660377399</v>
      </c>
    </row>
    <row r="68" spans="1:10" x14ac:dyDescent="0.45">
      <c r="A68" s="2">
        <v>19</v>
      </c>
      <c r="E68" t="s">
        <v>80</v>
      </c>
      <c r="F68">
        <v>-3.6916047113944916E-2</v>
      </c>
      <c r="H68" t="s">
        <v>100</v>
      </c>
    </row>
    <row r="69" spans="1:10" x14ac:dyDescent="0.45">
      <c r="A69" s="2">
        <v>22</v>
      </c>
      <c r="E69" t="s">
        <v>81</v>
      </c>
      <c r="F69">
        <v>0.66606425094593247</v>
      </c>
      <c r="H69">
        <f>COUNTIF(A17:A122,"&gt;20")</f>
        <v>42</v>
      </c>
    </row>
    <row r="70" spans="1:10" x14ac:dyDescent="0.45">
      <c r="A70" s="2">
        <v>24</v>
      </c>
      <c r="D70" s="18"/>
      <c r="E70" t="s">
        <v>82</v>
      </c>
      <c r="F70">
        <v>39</v>
      </c>
      <c r="H70">
        <f>42/106</f>
        <v>0.39622641509433965</v>
      </c>
    </row>
    <row r="71" spans="1:10" x14ac:dyDescent="0.45">
      <c r="A71" s="2">
        <v>16</v>
      </c>
      <c r="E71" t="s">
        <v>37</v>
      </c>
      <c r="F71">
        <v>5</v>
      </c>
      <c r="H71" t="s">
        <v>106</v>
      </c>
    </row>
    <row r="72" spans="1:10" x14ac:dyDescent="0.45">
      <c r="A72" s="2">
        <v>23</v>
      </c>
      <c r="E72" t="s">
        <v>38</v>
      </c>
      <c r="F72">
        <v>44</v>
      </c>
    </row>
    <row r="73" spans="1:10" x14ac:dyDescent="0.45">
      <c r="A73" s="2">
        <v>17</v>
      </c>
      <c r="E73" t="s">
        <v>83</v>
      </c>
      <c r="F73">
        <v>2070</v>
      </c>
    </row>
    <row r="74" spans="1:10" ht="14.65" thickBot="1" x14ac:dyDescent="0.5">
      <c r="A74" s="2">
        <v>16</v>
      </c>
      <c r="E74" s="31" t="s">
        <v>84</v>
      </c>
      <c r="F74" s="31">
        <v>106</v>
      </c>
    </row>
    <row r="75" spans="1:10" x14ac:dyDescent="0.45">
      <c r="A75" s="2">
        <v>22</v>
      </c>
    </row>
    <row r="76" spans="1:10" x14ac:dyDescent="0.45">
      <c r="A76" s="2">
        <v>16</v>
      </c>
    </row>
    <row r="77" spans="1:10" x14ac:dyDescent="0.45">
      <c r="A77" s="2">
        <v>20</v>
      </c>
      <c r="C77" s="18"/>
    </row>
    <row r="78" spans="1:10" x14ac:dyDescent="0.45">
      <c r="A78" s="2">
        <v>23</v>
      </c>
      <c r="C78" s="19"/>
    </row>
    <row r="79" spans="1:10" x14ac:dyDescent="0.45">
      <c r="A79" s="2">
        <v>21</v>
      </c>
    </row>
    <row r="80" spans="1:10" x14ac:dyDescent="0.45">
      <c r="A80" s="2">
        <v>24</v>
      </c>
    </row>
    <row r="81" spans="1:1" x14ac:dyDescent="0.45">
      <c r="A81" s="2">
        <v>20</v>
      </c>
    </row>
    <row r="82" spans="1:1" x14ac:dyDescent="0.45">
      <c r="A82" s="2">
        <v>20</v>
      </c>
    </row>
    <row r="83" spans="1:1" x14ac:dyDescent="0.45">
      <c r="A83" s="2">
        <v>24</v>
      </c>
    </row>
    <row r="84" spans="1:1" x14ac:dyDescent="0.45">
      <c r="A84" s="2">
        <v>16</v>
      </c>
    </row>
    <row r="85" spans="1:1" x14ac:dyDescent="0.45">
      <c r="A85" s="2">
        <v>16</v>
      </c>
    </row>
    <row r="86" spans="1:1" x14ac:dyDescent="0.45">
      <c r="A86" s="2">
        <v>16</v>
      </c>
    </row>
    <row r="87" spans="1:1" x14ac:dyDescent="0.45">
      <c r="A87" s="2">
        <v>19</v>
      </c>
    </row>
    <row r="88" spans="1:1" x14ac:dyDescent="0.45">
      <c r="A88" s="2">
        <v>19</v>
      </c>
    </row>
    <row r="89" spans="1:1" x14ac:dyDescent="0.45">
      <c r="A89" s="2">
        <v>20</v>
      </c>
    </row>
    <row r="90" spans="1:1" x14ac:dyDescent="0.45">
      <c r="A90" s="2">
        <v>18</v>
      </c>
    </row>
    <row r="91" spans="1:1" x14ac:dyDescent="0.45">
      <c r="A91" s="2">
        <v>19</v>
      </c>
    </row>
    <row r="92" spans="1:1" x14ac:dyDescent="0.45">
      <c r="A92" s="2">
        <v>17</v>
      </c>
    </row>
    <row r="93" spans="1:1" x14ac:dyDescent="0.45">
      <c r="A93" s="2">
        <v>30</v>
      </c>
    </row>
    <row r="94" spans="1:1" x14ac:dyDescent="0.45">
      <c r="A94" s="2">
        <v>26</v>
      </c>
    </row>
    <row r="95" spans="1:1" x14ac:dyDescent="0.45">
      <c r="A95" s="2">
        <v>26</v>
      </c>
    </row>
    <row r="96" spans="1:1" x14ac:dyDescent="0.45">
      <c r="A96" s="2">
        <v>27</v>
      </c>
    </row>
    <row r="97" spans="1:1" x14ac:dyDescent="0.45">
      <c r="A97" s="2">
        <v>28</v>
      </c>
    </row>
    <row r="98" spans="1:1" x14ac:dyDescent="0.45">
      <c r="A98" s="2">
        <v>27</v>
      </c>
    </row>
    <row r="99" spans="1:1" x14ac:dyDescent="0.45">
      <c r="A99" s="2">
        <v>27</v>
      </c>
    </row>
    <row r="100" spans="1:1" x14ac:dyDescent="0.45">
      <c r="A100" s="2">
        <v>26</v>
      </c>
    </row>
    <row r="101" spans="1:1" x14ac:dyDescent="0.45">
      <c r="A101" s="2">
        <v>28</v>
      </c>
    </row>
    <row r="102" spans="1:1" x14ac:dyDescent="0.45">
      <c r="A102" s="2">
        <v>29</v>
      </c>
    </row>
    <row r="103" spans="1:1" x14ac:dyDescent="0.45">
      <c r="A103" s="2">
        <v>26</v>
      </c>
    </row>
    <row r="104" spans="1:1" x14ac:dyDescent="0.45">
      <c r="A104" s="2">
        <v>27</v>
      </c>
    </row>
    <row r="105" spans="1:1" x14ac:dyDescent="0.45">
      <c r="A105" s="2">
        <v>30</v>
      </c>
    </row>
    <row r="106" spans="1:1" x14ac:dyDescent="0.45">
      <c r="A106" s="2">
        <v>28</v>
      </c>
    </row>
    <row r="107" spans="1:1" x14ac:dyDescent="0.45">
      <c r="A107" s="2">
        <v>29</v>
      </c>
    </row>
    <row r="108" spans="1:1" x14ac:dyDescent="0.45">
      <c r="A108" s="2">
        <v>28</v>
      </c>
    </row>
    <row r="109" spans="1:1" x14ac:dyDescent="0.45">
      <c r="A109" s="2">
        <v>28</v>
      </c>
    </row>
    <row r="110" spans="1:1" x14ac:dyDescent="0.45">
      <c r="A110" s="2">
        <v>29</v>
      </c>
    </row>
    <row r="111" spans="1:1" x14ac:dyDescent="0.45">
      <c r="A111" s="2">
        <v>30</v>
      </c>
    </row>
    <row r="112" spans="1:1" x14ac:dyDescent="0.45">
      <c r="A112" s="2">
        <v>26</v>
      </c>
    </row>
    <row r="113" spans="1:1" x14ac:dyDescent="0.45">
      <c r="A113" s="2">
        <v>36</v>
      </c>
    </row>
    <row r="114" spans="1:1" x14ac:dyDescent="0.45">
      <c r="A114" s="2">
        <v>43</v>
      </c>
    </row>
    <row r="115" spans="1:1" x14ac:dyDescent="0.45">
      <c r="A115" s="2">
        <v>36</v>
      </c>
    </row>
    <row r="116" spans="1:1" x14ac:dyDescent="0.45">
      <c r="A116" s="2">
        <v>44</v>
      </c>
    </row>
    <row r="117" spans="1:1" x14ac:dyDescent="0.45">
      <c r="A117" s="2">
        <v>36</v>
      </c>
    </row>
    <row r="118" spans="1:1" x14ac:dyDescent="0.45">
      <c r="A118" s="2">
        <v>36</v>
      </c>
    </row>
    <row r="119" spans="1:1" x14ac:dyDescent="0.45">
      <c r="A119" s="2">
        <v>31</v>
      </c>
    </row>
    <row r="120" spans="1:1" x14ac:dyDescent="0.45">
      <c r="A120" s="2">
        <v>40</v>
      </c>
    </row>
    <row r="121" spans="1:1" x14ac:dyDescent="0.45">
      <c r="A121" s="2">
        <v>37</v>
      </c>
    </row>
    <row r="122" spans="1:1" x14ac:dyDescent="0.45">
      <c r="A122" s="2">
        <v>43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FD4D-CBC2-4015-96BC-4249938EBAFB}">
  <dimension ref="A16:L136"/>
  <sheetViews>
    <sheetView topLeftCell="A34" zoomScale="115" zoomScaleNormal="115" workbookViewId="0">
      <selection activeCell="L59" sqref="L59"/>
    </sheetView>
  </sheetViews>
  <sheetFormatPr defaultRowHeight="14.25" x14ac:dyDescent="0.45"/>
  <cols>
    <col min="1" max="1" width="14" customWidth="1"/>
  </cols>
  <sheetData>
    <row r="16" spans="1:3" x14ac:dyDescent="0.45">
      <c r="A16" s="8" t="s">
        <v>0</v>
      </c>
      <c r="C16" t="s">
        <v>107</v>
      </c>
    </row>
    <row r="17" spans="1:9" x14ac:dyDescent="0.45">
      <c r="A17" s="2">
        <v>0.16</v>
      </c>
      <c r="C17" t="s">
        <v>34</v>
      </c>
    </row>
    <row r="18" spans="1:9" x14ac:dyDescent="0.45">
      <c r="A18" s="2">
        <v>2.71</v>
      </c>
    </row>
    <row r="19" spans="1:9" x14ac:dyDescent="0.45">
      <c r="A19" s="2">
        <v>1.1200000000000001</v>
      </c>
      <c r="C19" t="s">
        <v>108</v>
      </c>
      <c r="E19">
        <f>COUNT(A17:A136)</f>
        <v>120</v>
      </c>
    </row>
    <row r="20" spans="1:9" x14ac:dyDescent="0.45">
      <c r="A20" s="2">
        <v>2.14</v>
      </c>
    </row>
    <row r="21" spans="1:9" x14ac:dyDescent="0.45">
      <c r="A21" s="2">
        <v>3.24</v>
      </c>
      <c r="C21" t="s">
        <v>109</v>
      </c>
      <c r="E21">
        <f>INT(LOG(120,2))+1</f>
        <v>7</v>
      </c>
    </row>
    <row r="22" spans="1:9" x14ac:dyDescent="0.45">
      <c r="A22" s="2">
        <v>1.43</v>
      </c>
    </row>
    <row r="23" spans="1:9" x14ac:dyDescent="0.45">
      <c r="A23" s="2">
        <v>0.27</v>
      </c>
      <c r="C23" t="s">
        <v>55</v>
      </c>
      <c r="D23">
        <f>MAX(A17:A136)</f>
        <v>7.99</v>
      </c>
    </row>
    <row r="24" spans="1:9" x14ac:dyDescent="0.45">
      <c r="A24" s="2">
        <v>4.34</v>
      </c>
      <c r="C24" t="s">
        <v>110</v>
      </c>
      <c r="D24">
        <f>MIN(A17:A136)</f>
        <v>0.16</v>
      </c>
    </row>
    <row r="25" spans="1:9" x14ac:dyDescent="0.45">
      <c r="A25" s="15">
        <v>7</v>
      </c>
    </row>
    <row r="26" spans="1:9" x14ac:dyDescent="0.45">
      <c r="A26" s="2">
        <v>5.22</v>
      </c>
      <c r="C26" t="s">
        <v>111</v>
      </c>
      <c r="E26">
        <f>(D23-D24)/7</f>
        <v>1.1185714285714285</v>
      </c>
      <c r="F26">
        <v>1.1200000000000001</v>
      </c>
    </row>
    <row r="27" spans="1:9" x14ac:dyDescent="0.45">
      <c r="A27" s="15">
        <v>3.51</v>
      </c>
    </row>
    <row r="28" spans="1:9" x14ac:dyDescent="0.45">
      <c r="A28" s="2">
        <v>4.2300000000000004</v>
      </c>
      <c r="C28" t="s">
        <v>112</v>
      </c>
      <c r="E28" t="s">
        <v>20</v>
      </c>
    </row>
    <row r="29" spans="1:9" x14ac:dyDescent="0.45">
      <c r="A29" s="15">
        <v>2.52</v>
      </c>
      <c r="C29">
        <v>0.15</v>
      </c>
      <c r="E29" t="s">
        <v>41</v>
      </c>
      <c r="F29" t="s">
        <v>11</v>
      </c>
      <c r="G29" t="s">
        <v>12</v>
      </c>
      <c r="H29" t="s">
        <v>42</v>
      </c>
      <c r="I29" t="s">
        <v>43</v>
      </c>
    </row>
    <row r="30" spans="1:9" x14ac:dyDescent="0.45">
      <c r="A30" s="2">
        <v>5.31</v>
      </c>
      <c r="C30">
        <f>C29+1.12</f>
        <v>1.27</v>
      </c>
      <c r="E30" t="str">
        <f>CONCATENATE("]",C29,";",C30,"]")</f>
        <v>]0,15;1,27]</v>
      </c>
      <c r="F30">
        <f t="array" ref="F30:F36">FREQUENCY(A17:A136,C30:C36)</f>
        <v>23</v>
      </c>
      <c r="G30" s="7">
        <f>F30/120</f>
        <v>0.19166666666666668</v>
      </c>
      <c r="H30">
        <f>F30</f>
        <v>23</v>
      </c>
      <c r="I30" s="25">
        <f>G30</f>
        <v>0.19166666666666668</v>
      </c>
    </row>
    <row r="31" spans="1:9" x14ac:dyDescent="0.45">
      <c r="A31" s="2">
        <v>0.28000000000000003</v>
      </c>
      <c r="C31">
        <f t="shared" ref="C31:C36" si="0">C30+1.12</f>
        <v>2.39</v>
      </c>
      <c r="E31" t="str">
        <f t="shared" ref="E31:E36" si="1">CONCATENATE("]",C30,";",C31,"]")</f>
        <v>]1,27;2,39]</v>
      </c>
      <c r="F31">
        <v>28</v>
      </c>
      <c r="G31" s="7">
        <f t="shared" ref="G31:G36" si="2">F31/120</f>
        <v>0.23333333333333334</v>
      </c>
      <c r="H31">
        <f>H30+F31</f>
        <v>51</v>
      </c>
      <c r="I31" s="25">
        <f>I30+G31</f>
        <v>0.42500000000000004</v>
      </c>
    </row>
    <row r="32" spans="1:9" x14ac:dyDescent="0.45">
      <c r="A32" s="2">
        <v>1.32</v>
      </c>
      <c r="C32">
        <f t="shared" si="0"/>
        <v>3.5100000000000002</v>
      </c>
      <c r="E32" t="str">
        <f t="shared" si="1"/>
        <v>]2,39;3,51]</v>
      </c>
      <c r="F32">
        <v>26</v>
      </c>
      <c r="G32" s="7">
        <f t="shared" si="2"/>
        <v>0.21666666666666667</v>
      </c>
      <c r="H32">
        <f t="shared" ref="H32:H36" si="3">H31+F32</f>
        <v>77</v>
      </c>
      <c r="I32" s="25">
        <f t="shared" ref="I32:I36" si="4">I31+G32</f>
        <v>0.64166666666666672</v>
      </c>
    </row>
    <row r="33" spans="1:9" x14ac:dyDescent="0.45">
      <c r="A33" s="2">
        <v>2.34</v>
      </c>
      <c r="C33">
        <f t="shared" si="0"/>
        <v>4.6300000000000008</v>
      </c>
      <c r="E33" t="str">
        <f t="shared" si="1"/>
        <v>]3,51;4,63]</v>
      </c>
      <c r="F33">
        <v>16</v>
      </c>
      <c r="G33" s="7">
        <f t="shared" si="2"/>
        <v>0.13333333333333333</v>
      </c>
      <c r="H33">
        <f t="shared" si="3"/>
        <v>93</v>
      </c>
      <c r="I33" s="25">
        <f t="shared" si="4"/>
        <v>0.77500000000000002</v>
      </c>
    </row>
    <row r="34" spans="1:9" x14ac:dyDescent="0.45">
      <c r="A34" s="15">
        <v>2.08</v>
      </c>
      <c r="C34">
        <f t="shared" si="0"/>
        <v>5.7500000000000009</v>
      </c>
      <c r="E34" t="str">
        <f t="shared" si="1"/>
        <v>]4,63;5,75]</v>
      </c>
      <c r="F34">
        <v>9</v>
      </c>
      <c r="G34" s="7">
        <f t="shared" si="2"/>
        <v>7.4999999999999997E-2</v>
      </c>
      <c r="H34">
        <f t="shared" si="3"/>
        <v>102</v>
      </c>
      <c r="I34" s="25">
        <f t="shared" si="4"/>
        <v>0.85</v>
      </c>
    </row>
    <row r="35" spans="1:9" x14ac:dyDescent="0.45">
      <c r="A35" s="2">
        <v>1.24</v>
      </c>
      <c r="C35">
        <f t="shared" si="0"/>
        <v>6.870000000000001</v>
      </c>
      <c r="E35" t="str">
        <f t="shared" si="1"/>
        <v>]5,75;6,87]</v>
      </c>
      <c r="F35">
        <v>9</v>
      </c>
      <c r="G35" s="7">
        <f t="shared" si="2"/>
        <v>7.4999999999999997E-2</v>
      </c>
      <c r="H35">
        <f t="shared" si="3"/>
        <v>111</v>
      </c>
      <c r="I35" s="25">
        <f t="shared" si="4"/>
        <v>0.92499999999999993</v>
      </c>
    </row>
    <row r="36" spans="1:9" x14ac:dyDescent="0.45">
      <c r="A36" s="2">
        <v>3.27</v>
      </c>
      <c r="C36">
        <f t="shared" si="0"/>
        <v>7.9900000000000011</v>
      </c>
      <c r="E36" t="str">
        <f t="shared" si="1"/>
        <v>]6,87;7,99]</v>
      </c>
      <c r="F36">
        <v>9</v>
      </c>
      <c r="G36" s="7">
        <f t="shared" si="2"/>
        <v>7.4999999999999997E-2</v>
      </c>
      <c r="H36">
        <f t="shared" si="3"/>
        <v>120</v>
      </c>
      <c r="I36" s="25">
        <f t="shared" si="4"/>
        <v>0.99999999999999989</v>
      </c>
    </row>
    <row r="37" spans="1:9" x14ac:dyDescent="0.45">
      <c r="A37" s="2">
        <v>2.71</v>
      </c>
    </row>
    <row r="38" spans="1:9" x14ac:dyDescent="0.45">
      <c r="A38" s="2">
        <v>2.14</v>
      </c>
    </row>
    <row r="39" spans="1:9" x14ac:dyDescent="0.45">
      <c r="A39" s="2">
        <v>6.32</v>
      </c>
      <c r="C39" t="s">
        <v>113</v>
      </c>
    </row>
    <row r="40" spans="1:9" x14ac:dyDescent="0.45">
      <c r="A40" s="2">
        <v>2.2400000000000002</v>
      </c>
    </row>
    <row r="41" spans="1:9" x14ac:dyDescent="0.45">
      <c r="A41" s="2">
        <v>1.73</v>
      </c>
    </row>
    <row r="42" spans="1:9" x14ac:dyDescent="0.45">
      <c r="A42" s="2">
        <v>2.71</v>
      </c>
    </row>
    <row r="43" spans="1:9" x14ac:dyDescent="0.45">
      <c r="A43" s="2">
        <v>7.02</v>
      </c>
    </row>
    <row r="44" spans="1:9" x14ac:dyDescent="0.45">
      <c r="A44" s="15">
        <v>5.12</v>
      </c>
    </row>
    <row r="45" spans="1:9" x14ac:dyDescent="0.45">
      <c r="A45" s="2">
        <v>2.34</v>
      </c>
    </row>
    <row r="46" spans="1:9" x14ac:dyDescent="0.45">
      <c r="A46" s="2">
        <v>2.71</v>
      </c>
    </row>
    <row r="47" spans="1:9" x14ac:dyDescent="0.45">
      <c r="A47" s="2">
        <v>1.24</v>
      </c>
    </row>
    <row r="48" spans="1:9" x14ac:dyDescent="0.45">
      <c r="A48" s="2">
        <v>3.26</v>
      </c>
    </row>
    <row r="49" spans="1:12" x14ac:dyDescent="0.45">
      <c r="A49" s="2">
        <v>1.1599999999999999</v>
      </c>
    </row>
    <row r="50" spans="1:12" x14ac:dyDescent="0.45">
      <c r="A50" s="2">
        <v>2.36</v>
      </c>
    </row>
    <row r="51" spans="1:12" x14ac:dyDescent="0.45">
      <c r="A51" s="2">
        <v>6.02</v>
      </c>
    </row>
    <row r="52" spans="1:12" x14ac:dyDescent="0.45">
      <c r="A52" s="2">
        <v>2.16</v>
      </c>
    </row>
    <row r="53" spans="1:12" x14ac:dyDescent="0.45">
      <c r="A53" s="2">
        <v>2.09</v>
      </c>
    </row>
    <row r="54" spans="1:12" ht="14.65" thickBot="1" x14ac:dyDescent="0.5">
      <c r="A54" s="2">
        <v>2.11</v>
      </c>
    </row>
    <row r="55" spans="1:12" x14ac:dyDescent="0.45">
      <c r="A55" s="2">
        <v>3.86</v>
      </c>
      <c r="C55" s="32" t="s">
        <v>73</v>
      </c>
      <c r="D55" s="32"/>
      <c r="F55" t="s">
        <v>184</v>
      </c>
    </row>
    <row r="56" spans="1:12" x14ac:dyDescent="0.45">
      <c r="A56" s="2">
        <v>4.5599999999999996</v>
      </c>
      <c r="F56" t="s">
        <v>116</v>
      </c>
    </row>
    <row r="57" spans="1:12" x14ac:dyDescent="0.45">
      <c r="A57" s="2">
        <v>6.09</v>
      </c>
      <c r="C57" t="s">
        <v>74</v>
      </c>
      <c r="D57">
        <v>3.1331666666666669</v>
      </c>
      <c r="F57" t="s">
        <v>115</v>
      </c>
      <c r="J57">
        <f>D67-D66</f>
        <v>7.83</v>
      </c>
      <c r="K57" t="s">
        <v>117</v>
      </c>
    </row>
    <row r="58" spans="1:12" x14ac:dyDescent="0.45">
      <c r="A58" s="2">
        <v>1.08</v>
      </c>
      <c r="C58" t="s">
        <v>75</v>
      </c>
      <c r="D58">
        <v>0.18393637705192487</v>
      </c>
      <c r="F58" t="s">
        <v>114</v>
      </c>
      <c r="L58">
        <f>COUNTIF(A17:A136,"&lt;2")</f>
        <v>36</v>
      </c>
    </row>
    <row r="59" spans="1:12" x14ac:dyDescent="0.45">
      <c r="A59" s="2">
        <v>2.72</v>
      </c>
      <c r="C59" t="s">
        <v>76</v>
      </c>
      <c r="D59">
        <v>2.71</v>
      </c>
      <c r="L59" s="6">
        <f>36/120</f>
        <v>0.3</v>
      </c>
    </row>
    <row r="60" spans="1:12" x14ac:dyDescent="0.45">
      <c r="A60" s="2">
        <v>2.71</v>
      </c>
      <c r="C60" t="s">
        <v>77</v>
      </c>
      <c r="D60">
        <v>2.71</v>
      </c>
    </row>
    <row r="61" spans="1:12" x14ac:dyDescent="0.45">
      <c r="A61" s="2">
        <v>4.97</v>
      </c>
      <c r="C61" t="s">
        <v>78</v>
      </c>
      <c r="D61">
        <v>2.0149220571422966</v>
      </c>
    </row>
    <row r="62" spans="1:12" x14ac:dyDescent="0.45">
      <c r="A62" s="2">
        <v>3.01</v>
      </c>
      <c r="C62" t="s">
        <v>79</v>
      </c>
      <c r="D62">
        <v>4.0599108963585442</v>
      </c>
    </row>
    <row r="63" spans="1:12" x14ac:dyDescent="0.45">
      <c r="A63" s="2">
        <v>4.1900000000000004</v>
      </c>
      <c r="C63" t="s">
        <v>80</v>
      </c>
      <c r="D63">
        <v>-0.48425176547887894</v>
      </c>
    </row>
    <row r="64" spans="1:12" x14ac:dyDescent="0.45">
      <c r="A64" s="2">
        <v>5.22</v>
      </c>
      <c r="C64" t="s">
        <v>81</v>
      </c>
      <c r="D64">
        <v>0.62682972104146395</v>
      </c>
    </row>
    <row r="65" spans="1:4" x14ac:dyDescent="0.45">
      <c r="A65" s="2">
        <v>3.74</v>
      </c>
      <c r="C65" t="s">
        <v>82</v>
      </c>
      <c r="D65">
        <v>7.83</v>
      </c>
    </row>
    <row r="66" spans="1:4" x14ac:dyDescent="0.45">
      <c r="A66" s="2">
        <v>2.12</v>
      </c>
      <c r="C66" t="s">
        <v>37</v>
      </c>
      <c r="D66">
        <v>0.16</v>
      </c>
    </row>
    <row r="67" spans="1:4" x14ac:dyDescent="0.45">
      <c r="A67" s="2">
        <v>1.46</v>
      </c>
      <c r="C67" t="s">
        <v>38</v>
      </c>
      <c r="D67">
        <v>7.99</v>
      </c>
    </row>
    <row r="68" spans="1:4" x14ac:dyDescent="0.45">
      <c r="A68" s="2">
        <v>0.27</v>
      </c>
      <c r="C68" t="s">
        <v>83</v>
      </c>
      <c r="D68">
        <v>375.98</v>
      </c>
    </row>
    <row r="69" spans="1:4" ht="14.65" thickBot="1" x14ac:dyDescent="0.5">
      <c r="A69" s="2">
        <v>1.28</v>
      </c>
      <c r="C69" s="31" t="s">
        <v>84</v>
      </c>
      <c r="D69" s="31">
        <v>120</v>
      </c>
    </row>
    <row r="70" spans="1:4" x14ac:dyDescent="0.45">
      <c r="A70" s="2">
        <v>0.39</v>
      </c>
    </row>
    <row r="71" spans="1:4" x14ac:dyDescent="0.45">
      <c r="A71" s="2">
        <v>1.41</v>
      </c>
    </row>
    <row r="72" spans="1:4" x14ac:dyDescent="0.45">
      <c r="A72" s="2">
        <v>0.53</v>
      </c>
    </row>
    <row r="73" spans="1:4" x14ac:dyDescent="0.45">
      <c r="A73" s="2">
        <v>2.67</v>
      </c>
    </row>
    <row r="74" spans="1:4" x14ac:dyDescent="0.45">
      <c r="A74" s="2">
        <v>3.01</v>
      </c>
    </row>
    <row r="75" spans="1:4" x14ac:dyDescent="0.45">
      <c r="A75" s="2">
        <v>3.57</v>
      </c>
    </row>
    <row r="76" spans="1:4" x14ac:dyDescent="0.45">
      <c r="A76" s="2">
        <v>7.01</v>
      </c>
    </row>
    <row r="77" spans="1:4" x14ac:dyDescent="0.45">
      <c r="A77" s="2">
        <v>0.68</v>
      </c>
    </row>
    <row r="78" spans="1:4" x14ac:dyDescent="0.45">
      <c r="A78" s="2">
        <v>1.29</v>
      </c>
    </row>
    <row r="79" spans="1:4" x14ac:dyDescent="0.45">
      <c r="A79" s="2">
        <v>3.71</v>
      </c>
    </row>
    <row r="80" spans="1:4" x14ac:dyDescent="0.45">
      <c r="A80" s="2">
        <v>2.87</v>
      </c>
    </row>
    <row r="81" spans="1:1" x14ac:dyDescent="0.45">
      <c r="A81" s="2">
        <v>1.23</v>
      </c>
    </row>
    <row r="82" spans="1:1" x14ac:dyDescent="0.45">
      <c r="A82" s="2">
        <v>0.79</v>
      </c>
    </row>
    <row r="83" spans="1:1" x14ac:dyDescent="0.45">
      <c r="A83" s="2">
        <v>4.57</v>
      </c>
    </row>
    <row r="84" spans="1:1" x14ac:dyDescent="0.45">
      <c r="A84" s="2">
        <v>2.98</v>
      </c>
    </row>
    <row r="85" spans="1:1" x14ac:dyDescent="0.45">
      <c r="A85" s="2">
        <v>1.73</v>
      </c>
    </row>
    <row r="86" spans="1:1" x14ac:dyDescent="0.45">
      <c r="A86" s="2">
        <v>2.91</v>
      </c>
    </row>
    <row r="87" spans="1:1" x14ac:dyDescent="0.45">
      <c r="A87" s="2">
        <v>0.27</v>
      </c>
    </row>
    <row r="88" spans="1:1" x14ac:dyDescent="0.45">
      <c r="A88" s="2">
        <v>6.83</v>
      </c>
    </row>
    <row r="89" spans="1:1" x14ac:dyDescent="0.45">
      <c r="A89" s="2">
        <v>3.91</v>
      </c>
    </row>
    <row r="90" spans="1:1" x14ac:dyDescent="0.45">
      <c r="A90" s="2">
        <v>2.02</v>
      </c>
    </row>
    <row r="91" spans="1:1" x14ac:dyDescent="0.45">
      <c r="A91" s="2">
        <v>1.72</v>
      </c>
    </row>
    <row r="92" spans="1:1" x14ac:dyDescent="0.45">
      <c r="A92" s="2">
        <v>4.01</v>
      </c>
    </row>
    <row r="93" spans="1:1" x14ac:dyDescent="0.45">
      <c r="A93" s="2">
        <v>5.84</v>
      </c>
    </row>
    <row r="94" spans="1:1" x14ac:dyDescent="0.45">
      <c r="A94" s="2">
        <v>5.28</v>
      </c>
    </row>
    <row r="95" spans="1:1" x14ac:dyDescent="0.45">
      <c r="A95" s="2">
        <v>6.81</v>
      </c>
    </row>
    <row r="96" spans="1:1" x14ac:dyDescent="0.45">
      <c r="A96" s="2">
        <v>7.02</v>
      </c>
    </row>
    <row r="97" spans="1:1" x14ac:dyDescent="0.45">
      <c r="A97" s="2">
        <v>0.34</v>
      </c>
    </row>
    <row r="98" spans="1:1" x14ac:dyDescent="0.45">
      <c r="A98" s="2">
        <v>6.88</v>
      </c>
    </row>
    <row r="99" spans="1:1" x14ac:dyDescent="0.45">
      <c r="A99" s="2">
        <v>2.4300000000000002</v>
      </c>
    </row>
    <row r="100" spans="1:1" x14ac:dyDescent="0.45">
      <c r="A100" s="2">
        <v>1.93</v>
      </c>
    </row>
    <row r="101" spans="1:1" x14ac:dyDescent="0.45">
      <c r="A101" s="2">
        <v>0.32</v>
      </c>
    </row>
    <row r="102" spans="1:1" x14ac:dyDescent="0.45">
      <c r="A102" s="2">
        <v>0.78</v>
      </c>
    </row>
    <row r="103" spans="1:1" x14ac:dyDescent="0.45">
      <c r="A103" s="2">
        <v>1.28</v>
      </c>
    </row>
    <row r="104" spans="1:1" x14ac:dyDescent="0.45">
      <c r="A104" s="2">
        <v>7.99</v>
      </c>
    </row>
    <row r="105" spans="1:1" x14ac:dyDescent="0.45">
      <c r="A105" s="2">
        <v>4.71</v>
      </c>
    </row>
    <row r="106" spans="1:1" x14ac:dyDescent="0.45">
      <c r="A106" s="2">
        <v>5.44</v>
      </c>
    </row>
    <row r="107" spans="1:1" x14ac:dyDescent="0.45">
      <c r="A107" s="2">
        <v>2.17</v>
      </c>
    </row>
    <row r="108" spans="1:1" x14ac:dyDescent="0.45">
      <c r="A108" s="2">
        <v>0.62</v>
      </c>
    </row>
    <row r="109" spans="1:1" x14ac:dyDescent="0.45">
      <c r="A109" s="2">
        <v>1.1100000000000001</v>
      </c>
    </row>
    <row r="110" spans="1:1" x14ac:dyDescent="0.45">
      <c r="A110" s="2">
        <v>5.82</v>
      </c>
    </row>
    <row r="111" spans="1:1" x14ac:dyDescent="0.45">
      <c r="A111" s="2">
        <v>2.71</v>
      </c>
    </row>
    <row r="112" spans="1:1" x14ac:dyDescent="0.45">
      <c r="A112" s="2">
        <v>4.79</v>
      </c>
    </row>
    <row r="113" spans="1:1" x14ac:dyDescent="0.45">
      <c r="A113" s="2">
        <v>3.66</v>
      </c>
    </row>
    <row r="114" spans="1:1" x14ac:dyDescent="0.45">
      <c r="A114" s="2">
        <v>3.09</v>
      </c>
    </row>
    <row r="115" spans="1:1" x14ac:dyDescent="0.45">
      <c r="A115" s="2">
        <v>2.5099999999999998</v>
      </c>
    </row>
    <row r="116" spans="1:1" x14ac:dyDescent="0.45">
      <c r="A116" s="2">
        <v>1.72</v>
      </c>
    </row>
    <row r="117" spans="1:1" x14ac:dyDescent="0.45">
      <c r="A117" s="2">
        <v>3.81</v>
      </c>
    </row>
    <row r="118" spans="1:1" x14ac:dyDescent="0.45">
      <c r="A118" s="2">
        <v>2.73</v>
      </c>
    </row>
    <row r="119" spans="1:1" x14ac:dyDescent="0.45">
      <c r="A119" s="2">
        <v>7.09</v>
      </c>
    </row>
    <row r="120" spans="1:1" x14ac:dyDescent="0.45">
      <c r="A120" s="2">
        <v>6.44</v>
      </c>
    </row>
    <row r="121" spans="1:1" x14ac:dyDescent="0.45">
      <c r="A121" s="2">
        <v>2.2200000000000002</v>
      </c>
    </row>
    <row r="122" spans="1:1" x14ac:dyDescent="0.45">
      <c r="A122" s="2">
        <v>3.17</v>
      </c>
    </row>
    <row r="123" spans="1:1" x14ac:dyDescent="0.45">
      <c r="A123" s="2">
        <v>0.78</v>
      </c>
    </row>
    <row r="124" spans="1:1" x14ac:dyDescent="0.45">
      <c r="A124" s="2">
        <v>2.71</v>
      </c>
    </row>
    <row r="125" spans="1:1" x14ac:dyDescent="0.45">
      <c r="A125" s="2">
        <v>7.09</v>
      </c>
    </row>
    <row r="126" spans="1:1" x14ac:dyDescent="0.45">
      <c r="A126" s="2">
        <v>7.81</v>
      </c>
    </row>
    <row r="127" spans="1:1" x14ac:dyDescent="0.45">
      <c r="A127" s="2">
        <v>3.88</v>
      </c>
    </row>
    <row r="128" spans="1:1" x14ac:dyDescent="0.45">
      <c r="A128" s="2">
        <v>3.91</v>
      </c>
    </row>
    <row r="129" spans="1:1" x14ac:dyDescent="0.45">
      <c r="A129" s="2">
        <v>6.81</v>
      </c>
    </row>
    <row r="130" spans="1:1" x14ac:dyDescent="0.45">
      <c r="A130" s="2">
        <v>0.99</v>
      </c>
    </row>
    <row r="131" spans="1:1" x14ac:dyDescent="0.45">
      <c r="A131" s="2">
        <v>2.16</v>
      </c>
    </row>
    <row r="132" spans="1:1" x14ac:dyDescent="0.45">
      <c r="A132" s="2">
        <v>1.74</v>
      </c>
    </row>
    <row r="133" spans="1:1" x14ac:dyDescent="0.45">
      <c r="A133" s="2">
        <v>2.83</v>
      </c>
    </row>
    <row r="134" spans="1:1" x14ac:dyDescent="0.45">
      <c r="A134" s="2">
        <v>3.93</v>
      </c>
    </row>
    <row r="135" spans="1:1" x14ac:dyDescent="0.45">
      <c r="A135" s="2">
        <v>0.59</v>
      </c>
    </row>
    <row r="136" spans="1:1" x14ac:dyDescent="0.45">
      <c r="A136" s="2">
        <v>3.48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7CE6-DA57-46E8-A0A7-FD2CFBF81233}">
  <dimension ref="A14:M164"/>
  <sheetViews>
    <sheetView topLeftCell="A34" zoomScale="99" workbookViewId="0">
      <selection activeCell="L51" sqref="L51"/>
    </sheetView>
  </sheetViews>
  <sheetFormatPr defaultRowHeight="14.25" x14ac:dyDescent="0.45"/>
  <sheetData>
    <row r="14" spans="1:12" x14ac:dyDescent="0.45">
      <c r="A14" s="1" t="s">
        <v>0</v>
      </c>
    </row>
    <row r="15" spans="1:12" x14ac:dyDescent="0.45">
      <c r="A15">
        <v>1</v>
      </c>
      <c r="E15" t="s">
        <v>136</v>
      </c>
      <c r="J15" t="s">
        <v>139</v>
      </c>
      <c r="L15">
        <f>COUNT(A15:A164)</f>
        <v>150</v>
      </c>
    </row>
    <row r="16" spans="1:12" x14ac:dyDescent="0.45">
      <c r="A16">
        <v>0</v>
      </c>
      <c r="E16" t="s">
        <v>19</v>
      </c>
    </row>
    <row r="17" spans="1:9" x14ac:dyDescent="0.45">
      <c r="A17">
        <v>0</v>
      </c>
    </row>
    <row r="18" spans="1:9" x14ac:dyDescent="0.45">
      <c r="A18">
        <v>2</v>
      </c>
      <c r="E18" t="s">
        <v>138</v>
      </c>
    </row>
    <row r="19" spans="1:9" x14ac:dyDescent="0.45">
      <c r="A19">
        <v>2</v>
      </c>
      <c r="E19" t="s">
        <v>10</v>
      </c>
      <c r="F19" t="s">
        <v>11</v>
      </c>
      <c r="G19" t="s">
        <v>12</v>
      </c>
      <c r="H19" t="s">
        <v>42</v>
      </c>
      <c r="I19" t="s">
        <v>43</v>
      </c>
    </row>
    <row r="20" spans="1:9" x14ac:dyDescent="0.45">
      <c r="A20">
        <v>3</v>
      </c>
      <c r="E20">
        <v>0</v>
      </c>
      <c r="F20">
        <f>COUNTIF($A$15:$A$164,E20)</f>
        <v>42</v>
      </c>
      <c r="G20" s="9">
        <f>F20/150</f>
        <v>0.28000000000000003</v>
      </c>
      <c r="H20">
        <f>F20</f>
        <v>42</v>
      </c>
      <c r="I20" s="9">
        <f>G20</f>
        <v>0.28000000000000003</v>
      </c>
    </row>
    <row r="21" spans="1:9" x14ac:dyDescent="0.45">
      <c r="A21">
        <v>0</v>
      </c>
      <c r="E21">
        <v>1</v>
      </c>
      <c r="F21">
        <f t="shared" ref="F21:F23" si="0">COUNTIF($A$15:$A$164,E21)</f>
        <v>54</v>
      </c>
      <c r="G21" s="9">
        <f t="shared" ref="G21:G23" si="1">F21/150</f>
        <v>0.36</v>
      </c>
      <c r="H21">
        <f>H20+F21</f>
        <v>96</v>
      </c>
      <c r="I21" s="9">
        <f>I20+G21</f>
        <v>0.64</v>
      </c>
    </row>
    <row r="22" spans="1:9" x14ac:dyDescent="0.45">
      <c r="A22">
        <v>1</v>
      </c>
      <c r="E22">
        <v>2</v>
      </c>
      <c r="F22">
        <f t="shared" si="0"/>
        <v>36</v>
      </c>
      <c r="G22" s="9">
        <f t="shared" si="1"/>
        <v>0.24</v>
      </c>
      <c r="H22">
        <f t="shared" ref="H22:H23" si="2">H21+F22</f>
        <v>132</v>
      </c>
      <c r="I22" s="9">
        <f t="shared" ref="I22:I23" si="3">I21+G22</f>
        <v>0.88</v>
      </c>
    </row>
    <row r="23" spans="1:9" x14ac:dyDescent="0.45">
      <c r="A23">
        <v>1</v>
      </c>
      <c r="E23">
        <v>3</v>
      </c>
      <c r="F23">
        <f t="shared" si="0"/>
        <v>18</v>
      </c>
      <c r="G23" s="9">
        <f t="shared" si="1"/>
        <v>0.12</v>
      </c>
      <c r="H23">
        <f t="shared" si="2"/>
        <v>150</v>
      </c>
      <c r="I23" s="9">
        <f t="shared" si="3"/>
        <v>1</v>
      </c>
    </row>
    <row r="24" spans="1:9" x14ac:dyDescent="0.45">
      <c r="A24">
        <v>0</v>
      </c>
      <c r="E24" t="s">
        <v>21</v>
      </c>
      <c r="F24">
        <f>SUM(F20:F23)</f>
        <v>150</v>
      </c>
      <c r="G24" s="9">
        <f>SUM(G20:G23)</f>
        <v>1</v>
      </c>
    </row>
    <row r="25" spans="1:9" x14ac:dyDescent="0.45">
      <c r="A25">
        <v>0</v>
      </c>
    </row>
    <row r="26" spans="1:9" x14ac:dyDescent="0.45">
      <c r="A26">
        <v>2</v>
      </c>
      <c r="E26" t="s">
        <v>140</v>
      </c>
    </row>
    <row r="27" spans="1:9" x14ac:dyDescent="0.45">
      <c r="A27">
        <v>2</v>
      </c>
    </row>
    <row r="28" spans="1:9" x14ac:dyDescent="0.45">
      <c r="A28">
        <v>3</v>
      </c>
    </row>
    <row r="29" spans="1:9" x14ac:dyDescent="0.45">
      <c r="A29">
        <v>1</v>
      </c>
    </row>
    <row r="30" spans="1:9" x14ac:dyDescent="0.45">
      <c r="A30">
        <v>0</v>
      </c>
    </row>
    <row r="31" spans="1:9" x14ac:dyDescent="0.45">
      <c r="A31">
        <v>1</v>
      </c>
    </row>
    <row r="32" spans="1:9" x14ac:dyDescent="0.45">
      <c r="A32">
        <v>2</v>
      </c>
    </row>
    <row r="33" spans="1:13" x14ac:dyDescent="0.45">
      <c r="A33">
        <v>3</v>
      </c>
    </row>
    <row r="34" spans="1:13" x14ac:dyDescent="0.45">
      <c r="A34">
        <v>2</v>
      </c>
    </row>
    <row r="35" spans="1:13" x14ac:dyDescent="0.45">
      <c r="A35">
        <v>2</v>
      </c>
    </row>
    <row r="36" spans="1:13" x14ac:dyDescent="0.45">
      <c r="A36">
        <v>1</v>
      </c>
    </row>
    <row r="37" spans="1:13" x14ac:dyDescent="0.45">
      <c r="A37">
        <v>1</v>
      </c>
    </row>
    <row r="38" spans="1:13" x14ac:dyDescent="0.45">
      <c r="A38">
        <v>0</v>
      </c>
    </row>
    <row r="39" spans="1:13" x14ac:dyDescent="0.45">
      <c r="A39">
        <v>0</v>
      </c>
    </row>
    <row r="40" spans="1:13" x14ac:dyDescent="0.45">
      <c r="A40">
        <v>0</v>
      </c>
    </row>
    <row r="41" spans="1:13" x14ac:dyDescent="0.45">
      <c r="A41">
        <v>1</v>
      </c>
    </row>
    <row r="42" spans="1:13" ht="14.65" thickBot="1" x14ac:dyDescent="0.5">
      <c r="A42">
        <v>1</v>
      </c>
    </row>
    <row r="43" spans="1:13" x14ac:dyDescent="0.45">
      <c r="A43">
        <v>3</v>
      </c>
      <c r="E43" t="s">
        <v>141</v>
      </c>
      <c r="F43" s="32" t="s">
        <v>73</v>
      </c>
      <c r="G43" s="32"/>
      <c r="I43" t="s">
        <v>142</v>
      </c>
      <c r="J43" t="s">
        <v>132</v>
      </c>
      <c r="K43">
        <v>1.2</v>
      </c>
      <c r="M43" t="s">
        <v>148</v>
      </c>
    </row>
    <row r="44" spans="1:13" x14ac:dyDescent="0.45">
      <c r="A44">
        <v>1</v>
      </c>
      <c r="J44" t="s">
        <v>144</v>
      </c>
      <c r="K44">
        <v>1</v>
      </c>
      <c r="M44" t="s">
        <v>149</v>
      </c>
    </row>
    <row r="45" spans="1:13" x14ac:dyDescent="0.45">
      <c r="A45">
        <v>3</v>
      </c>
      <c r="F45" t="s">
        <v>74</v>
      </c>
      <c r="G45">
        <v>1.2</v>
      </c>
      <c r="J45" t="s">
        <v>145</v>
      </c>
      <c r="K45">
        <v>1</v>
      </c>
    </row>
    <row r="46" spans="1:13" x14ac:dyDescent="0.45">
      <c r="A46">
        <v>2</v>
      </c>
      <c r="F46" t="s">
        <v>75</v>
      </c>
      <c r="G46">
        <v>8.0268007450878143E-2</v>
      </c>
    </row>
    <row r="47" spans="1:13" x14ac:dyDescent="0.45">
      <c r="A47">
        <v>2</v>
      </c>
      <c r="F47" t="s">
        <v>76</v>
      </c>
      <c r="G47">
        <v>1</v>
      </c>
      <c r="I47" t="s">
        <v>143</v>
      </c>
      <c r="J47" t="s">
        <v>146</v>
      </c>
      <c r="L47" t="s">
        <v>147</v>
      </c>
    </row>
    <row r="48" spans="1:13" x14ac:dyDescent="0.45">
      <c r="A48">
        <v>3</v>
      </c>
      <c r="F48" t="s">
        <v>77</v>
      </c>
      <c r="G48">
        <v>1</v>
      </c>
      <c r="J48" t="s">
        <v>91</v>
      </c>
      <c r="K48">
        <v>0.96599999999999997</v>
      </c>
    </row>
    <row r="49" spans="1:12" x14ac:dyDescent="0.45">
      <c r="A49">
        <v>1</v>
      </c>
      <c r="F49" t="s">
        <v>78</v>
      </c>
      <c r="G49">
        <v>0.98307830462284862</v>
      </c>
      <c r="J49" t="s">
        <v>133</v>
      </c>
      <c r="L49">
        <v>0.98299999999999998</v>
      </c>
    </row>
    <row r="50" spans="1:12" x14ac:dyDescent="0.45">
      <c r="A50">
        <v>1</v>
      </c>
      <c r="F50" t="s">
        <v>79</v>
      </c>
      <c r="G50">
        <v>0.96644295302013428</v>
      </c>
    </row>
    <row r="51" spans="1:12" x14ac:dyDescent="0.45">
      <c r="A51">
        <v>1</v>
      </c>
      <c r="F51" t="s">
        <v>80</v>
      </c>
      <c r="G51">
        <v>-0.88533527149598257</v>
      </c>
      <c r="I51" t="s">
        <v>150</v>
      </c>
      <c r="J51" s="9"/>
    </row>
    <row r="52" spans="1:12" x14ac:dyDescent="0.45">
      <c r="A52">
        <v>1</v>
      </c>
      <c r="F52" t="s">
        <v>81</v>
      </c>
      <c r="G52">
        <v>0.36083568120834519</v>
      </c>
    </row>
    <row r="53" spans="1:12" x14ac:dyDescent="0.45">
      <c r="A53">
        <v>2</v>
      </c>
      <c r="F53" t="s">
        <v>82</v>
      </c>
      <c r="G53">
        <v>3</v>
      </c>
    </row>
    <row r="54" spans="1:12" x14ac:dyDescent="0.45">
      <c r="A54">
        <v>2</v>
      </c>
      <c r="F54" t="s">
        <v>37</v>
      </c>
      <c r="G54">
        <v>0</v>
      </c>
    </row>
    <row r="55" spans="1:12" x14ac:dyDescent="0.45">
      <c r="A55">
        <v>3</v>
      </c>
      <c r="F55" t="s">
        <v>38</v>
      </c>
      <c r="G55">
        <v>3</v>
      </c>
    </row>
    <row r="56" spans="1:12" x14ac:dyDescent="0.45">
      <c r="A56">
        <v>1</v>
      </c>
      <c r="F56" t="s">
        <v>83</v>
      </c>
      <c r="G56">
        <v>180</v>
      </c>
    </row>
    <row r="57" spans="1:12" ht="14.65" thickBot="1" x14ac:dyDescent="0.5">
      <c r="A57">
        <v>3</v>
      </c>
      <c r="F57" s="31" t="s">
        <v>84</v>
      </c>
      <c r="G57" s="31">
        <v>150</v>
      </c>
    </row>
    <row r="58" spans="1:12" x14ac:dyDescent="0.45">
      <c r="A58">
        <v>3</v>
      </c>
    </row>
    <row r="59" spans="1:12" x14ac:dyDescent="0.45">
      <c r="A59">
        <v>0</v>
      </c>
    </row>
    <row r="60" spans="1:12" x14ac:dyDescent="0.45">
      <c r="A60">
        <v>0</v>
      </c>
    </row>
    <row r="61" spans="1:12" x14ac:dyDescent="0.45">
      <c r="A61">
        <v>0</v>
      </c>
    </row>
    <row r="62" spans="1:12" x14ac:dyDescent="0.45">
      <c r="A62">
        <v>1</v>
      </c>
    </row>
    <row r="63" spans="1:12" x14ac:dyDescent="0.45">
      <c r="A63">
        <v>1</v>
      </c>
    </row>
    <row r="64" spans="1:12" x14ac:dyDescent="0.45">
      <c r="A64">
        <v>2</v>
      </c>
    </row>
    <row r="65" spans="1:1" x14ac:dyDescent="0.45">
      <c r="A65">
        <v>0</v>
      </c>
    </row>
    <row r="66" spans="1:1" x14ac:dyDescent="0.45">
      <c r="A66">
        <v>1</v>
      </c>
    </row>
    <row r="67" spans="1:1" x14ac:dyDescent="0.45">
      <c r="A67">
        <v>2</v>
      </c>
    </row>
    <row r="68" spans="1:1" x14ac:dyDescent="0.45">
      <c r="A68">
        <v>0</v>
      </c>
    </row>
    <row r="69" spans="1:1" x14ac:dyDescent="0.45">
      <c r="A69">
        <v>0</v>
      </c>
    </row>
    <row r="70" spans="1:1" x14ac:dyDescent="0.45">
      <c r="A70">
        <v>1</v>
      </c>
    </row>
    <row r="71" spans="1:1" x14ac:dyDescent="0.45">
      <c r="A71">
        <v>1</v>
      </c>
    </row>
    <row r="72" spans="1:1" x14ac:dyDescent="0.45">
      <c r="A72">
        <v>1</v>
      </c>
    </row>
    <row r="73" spans="1:1" x14ac:dyDescent="0.45">
      <c r="A73">
        <v>3</v>
      </c>
    </row>
    <row r="74" spans="1:1" x14ac:dyDescent="0.45">
      <c r="A74">
        <v>2</v>
      </c>
    </row>
    <row r="75" spans="1:1" x14ac:dyDescent="0.45">
      <c r="A75">
        <v>3</v>
      </c>
    </row>
    <row r="76" spans="1:1" x14ac:dyDescent="0.45">
      <c r="A76">
        <v>2</v>
      </c>
    </row>
    <row r="77" spans="1:1" x14ac:dyDescent="0.45">
      <c r="A77">
        <v>1</v>
      </c>
    </row>
    <row r="78" spans="1:1" x14ac:dyDescent="0.45">
      <c r="A78">
        <v>1</v>
      </c>
    </row>
    <row r="79" spans="1:1" x14ac:dyDescent="0.45">
      <c r="A79">
        <v>0</v>
      </c>
    </row>
    <row r="80" spans="1:1" x14ac:dyDescent="0.45">
      <c r="A80">
        <v>0</v>
      </c>
    </row>
    <row r="81" spans="1:1" x14ac:dyDescent="0.45">
      <c r="A81">
        <v>2</v>
      </c>
    </row>
    <row r="82" spans="1:1" x14ac:dyDescent="0.45">
      <c r="A82">
        <v>2</v>
      </c>
    </row>
    <row r="83" spans="1:1" x14ac:dyDescent="0.45">
      <c r="A83">
        <v>3</v>
      </c>
    </row>
    <row r="84" spans="1:1" x14ac:dyDescent="0.45">
      <c r="A84">
        <v>3</v>
      </c>
    </row>
    <row r="85" spans="1:1" x14ac:dyDescent="0.45">
      <c r="A85">
        <v>1</v>
      </c>
    </row>
    <row r="86" spans="1:1" x14ac:dyDescent="0.45">
      <c r="A86">
        <v>1</v>
      </c>
    </row>
    <row r="87" spans="1:1" x14ac:dyDescent="0.45">
      <c r="A87">
        <v>0</v>
      </c>
    </row>
    <row r="88" spans="1:1" x14ac:dyDescent="0.45">
      <c r="A88">
        <v>0</v>
      </c>
    </row>
    <row r="89" spans="1:1" x14ac:dyDescent="0.45">
      <c r="A89">
        <v>0</v>
      </c>
    </row>
    <row r="90" spans="1:1" x14ac:dyDescent="0.45">
      <c r="A90">
        <v>0</v>
      </c>
    </row>
    <row r="91" spans="1:1" x14ac:dyDescent="0.45">
      <c r="A91">
        <v>0</v>
      </c>
    </row>
    <row r="92" spans="1:1" x14ac:dyDescent="0.45">
      <c r="A92">
        <v>1</v>
      </c>
    </row>
    <row r="93" spans="1:1" x14ac:dyDescent="0.45">
      <c r="A93">
        <v>0</v>
      </c>
    </row>
    <row r="94" spans="1:1" x14ac:dyDescent="0.45">
      <c r="A94">
        <v>1</v>
      </c>
    </row>
    <row r="95" spans="1:1" x14ac:dyDescent="0.45">
      <c r="A95">
        <v>1</v>
      </c>
    </row>
    <row r="96" spans="1:1" x14ac:dyDescent="0.45">
      <c r="A96">
        <v>0</v>
      </c>
    </row>
    <row r="97" spans="1:1" x14ac:dyDescent="0.45">
      <c r="A97">
        <v>0</v>
      </c>
    </row>
    <row r="98" spans="1:1" x14ac:dyDescent="0.45">
      <c r="A98">
        <v>0</v>
      </c>
    </row>
    <row r="99" spans="1:1" x14ac:dyDescent="0.45">
      <c r="A99">
        <v>2</v>
      </c>
    </row>
    <row r="100" spans="1:1" x14ac:dyDescent="0.45">
      <c r="A100">
        <v>0</v>
      </c>
    </row>
    <row r="101" spans="1:1" x14ac:dyDescent="0.45">
      <c r="A101">
        <v>0</v>
      </c>
    </row>
    <row r="102" spans="1:1" x14ac:dyDescent="0.45">
      <c r="A102">
        <v>3</v>
      </c>
    </row>
    <row r="103" spans="1:1" x14ac:dyDescent="0.45">
      <c r="A103">
        <v>0</v>
      </c>
    </row>
    <row r="104" spans="1:1" x14ac:dyDescent="0.45">
      <c r="A104">
        <v>0</v>
      </c>
    </row>
    <row r="105" spans="1:1" x14ac:dyDescent="0.45">
      <c r="A105">
        <v>0</v>
      </c>
    </row>
    <row r="106" spans="1:1" x14ac:dyDescent="0.45">
      <c r="A106">
        <v>1</v>
      </c>
    </row>
    <row r="107" spans="1:1" x14ac:dyDescent="0.45">
      <c r="A107">
        <v>1</v>
      </c>
    </row>
    <row r="108" spans="1:1" x14ac:dyDescent="0.45">
      <c r="A108">
        <v>3</v>
      </c>
    </row>
    <row r="109" spans="1:1" x14ac:dyDescent="0.45">
      <c r="A109">
        <v>1</v>
      </c>
    </row>
    <row r="110" spans="1:1" x14ac:dyDescent="0.45">
      <c r="A110">
        <v>1</v>
      </c>
    </row>
    <row r="111" spans="1:1" x14ac:dyDescent="0.45">
      <c r="A111">
        <v>0</v>
      </c>
    </row>
    <row r="112" spans="1:1" x14ac:dyDescent="0.45">
      <c r="A112">
        <v>0</v>
      </c>
    </row>
    <row r="113" spans="1:1" x14ac:dyDescent="0.45">
      <c r="A113">
        <v>0</v>
      </c>
    </row>
    <row r="114" spans="1:1" x14ac:dyDescent="0.45">
      <c r="A114">
        <v>1</v>
      </c>
    </row>
    <row r="115" spans="1:1" x14ac:dyDescent="0.45">
      <c r="A115">
        <v>1</v>
      </c>
    </row>
    <row r="116" spans="1:1" x14ac:dyDescent="0.45">
      <c r="A116">
        <v>1</v>
      </c>
    </row>
    <row r="117" spans="1:1" x14ac:dyDescent="0.45">
      <c r="A117">
        <v>1</v>
      </c>
    </row>
    <row r="118" spans="1:1" x14ac:dyDescent="0.45">
      <c r="A118">
        <v>3</v>
      </c>
    </row>
    <row r="119" spans="1:1" x14ac:dyDescent="0.45">
      <c r="A119">
        <v>2</v>
      </c>
    </row>
    <row r="120" spans="1:1" x14ac:dyDescent="0.45">
      <c r="A120">
        <v>1</v>
      </c>
    </row>
    <row r="121" spans="1:1" x14ac:dyDescent="0.45">
      <c r="A121">
        <v>1</v>
      </c>
    </row>
    <row r="122" spans="1:1" x14ac:dyDescent="0.45">
      <c r="A122">
        <v>0</v>
      </c>
    </row>
    <row r="123" spans="1:1" x14ac:dyDescent="0.45">
      <c r="A123">
        <v>1</v>
      </c>
    </row>
    <row r="124" spans="1:1" x14ac:dyDescent="0.45">
      <c r="A124">
        <v>2</v>
      </c>
    </row>
    <row r="125" spans="1:1" x14ac:dyDescent="0.45">
      <c r="A125">
        <v>2</v>
      </c>
    </row>
    <row r="126" spans="1:1" x14ac:dyDescent="0.45">
      <c r="A126">
        <v>0</v>
      </c>
    </row>
    <row r="127" spans="1:1" x14ac:dyDescent="0.45">
      <c r="A127">
        <v>1</v>
      </c>
    </row>
    <row r="128" spans="1:1" x14ac:dyDescent="0.45">
      <c r="A128">
        <v>2</v>
      </c>
    </row>
    <row r="129" spans="1:1" x14ac:dyDescent="0.45">
      <c r="A129">
        <v>0</v>
      </c>
    </row>
    <row r="130" spans="1:1" x14ac:dyDescent="0.45">
      <c r="A130">
        <v>0</v>
      </c>
    </row>
    <row r="131" spans="1:1" x14ac:dyDescent="0.45">
      <c r="A131">
        <v>2</v>
      </c>
    </row>
    <row r="132" spans="1:1" x14ac:dyDescent="0.45">
      <c r="A132">
        <v>2</v>
      </c>
    </row>
    <row r="133" spans="1:1" x14ac:dyDescent="0.45">
      <c r="A133">
        <v>2</v>
      </c>
    </row>
    <row r="134" spans="1:1" x14ac:dyDescent="0.45">
      <c r="A134">
        <v>1</v>
      </c>
    </row>
    <row r="135" spans="1:1" x14ac:dyDescent="0.45">
      <c r="A135">
        <v>1</v>
      </c>
    </row>
    <row r="136" spans="1:1" x14ac:dyDescent="0.45">
      <c r="A136">
        <v>0</v>
      </c>
    </row>
    <row r="137" spans="1:1" x14ac:dyDescent="0.45">
      <c r="A137">
        <v>0</v>
      </c>
    </row>
    <row r="138" spans="1:1" x14ac:dyDescent="0.45">
      <c r="A138">
        <v>1</v>
      </c>
    </row>
    <row r="139" spans="1:1" x14ac:dyDescent="0.45">
      <c r="A139">
        <v>1</v>
      </c>
    </row>
    <row r="140" spans="1:1" x14ac:dyDescent="0.45">
      <c r="A140">
        <v>0</v>
      </c>
    </row>
    <row r="141" spans="1:1" x14ac:dyDescent="0.45">
      <c r="A141">
        <v>2</v>
      </c>
    </row>
    <row r="142" spans="1:1" x14ac:dyDescent="0.45">
      <c r="A142">
        <v>2</v>
      </c>
    </row>
    <row r="143" spans="1:1" x14ac:dyDescent="0.45">
      <c r="A143">
        <v>2</v>
      </c>
    </row>
    <row r="144" spans="1:1" x14ac:dyDescent="0.45">
      <c r="A144">
        <v>1</v>
      </c>
    </row>
    <row r="145" spans="1:1" x14ac:dyDescent="0.45">
      <c r="A145">
        <v>1</v>
      </c>
    </row>
    <row r="146" spans="1:1" x14ac:dyDescent="0.45">
      <c r="A146">
        <v>0</v>
      </c>
    </row>
    <row r="147" spans="1:1" x14ac:dyDescent="0.45">
      <c r="A147">
        <v>2</v>
      </c>
    </row>
    <row r="148" spans="1:1" x14ac:dyDescent="0.45">
      <c r="A148">
        <v>2</v>
      </c>
    </row>
    <row r="149" spans="1:1" x14ac:dyDescent="0.45">
      <c r="A149">
        <v>2</v>
      </c>
    </row>
    <row r="150" spans="1:1" x14ac:dyDescent="0.45">
      <c r="A150">
        <v>2</v>
      </c>
    </row>
    <row r="151" spans="1:1" x14ac:dyDescent="0.45">
      <c r="A151">
        <v>1</v>
      </c>
    </row>
    <row r="152" spans="1:1" x14ac:dyDescent="0.45">
      <c r="A152">
        <v>3</v>
      </c>
    </row>
    <row r="153" spans="1:1" x14ac:dyDescent="0.45">
      <c r="A153">
        <v>2</v>
      </c>
    </row>
    <row r="154" spans="1:1" x14ac:dyDescent="0.45">
      <c r="A154">
        <v>2</v>
      </c>
    </row>
    <row r="155" spans="1:1" x14ac:dyDescent="0.45">
      <c r="A155">
        <v>1</v>
      </c>
    </row>
    <row r="156" spans="1:1" x14ac:dyDescent="0.45">
      <c r="A156">
        <v>1</v>
      </c>
    </row>
    <row r="157" spans="1:1" x14ac:dyDescent="0.45">
      <c r="A157">
        <v>2</v>
      </c>
    </row>
    <row r="158" spans="1:1" x14ac:dyDescent="0.45">
      <c r="A158">
        <v>2</v>
      </c>
    </row>
    <row r="159" spans="1:1" x14ac:dyDescent="0.45">
      <c r="A159">
        <v>3</v>
      </c>
    </row>
    <row r="160" spans="1:1" x14ac:dyDescent="0.45">
      <c r="A160">
        <v>1</v>
      </c>
    </row>
    <row r="161" spans="1:1" x14ac:dyDescent="0.45">
      <c r="A161">
        <v>1</v>
      </c>
    </row>
    <row r="162" spans="1:1" x14ac:dyDescent="0.45">
      <c r="A162">
        <v>1</v>
      </c>
    </row>
    <row r="163" spans="1:1" x14ac:dyDescent="0.45">
      <c r="A163">
        <v>1</v>
      </c>
    </row>
    <row r="164" spans="1:1" x14ac:dyDescent="0.45">
      <c r="A164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E707-5CCA-4658-8BCF-D7514A4986A9}">
  <dimension ref="A14:L134"/>
  <sheetViews>
    <sheetView topLeftCell="A30" zoomScaleNormal="100" workbookViewId="0">
      <selection activeCell="K29" sqref="K29"/>
    </sheetView>
  </sheetViews>
  <sheetFormatPr defaultRowHeight="14.25" x14ac:dyDescent="0.45"/>
  <sheetData>
    <row r="14" spans="1:4" x14ac:dyDescent="0.45">
      <c r="A14" s="1" t="s">
        <v>0</v>
      </c>
      <c r="D14" t="s">
        <v>118</v>
      </c>
    </row>
    <row r="15" spans="1:4" x14ac:dyDescent="0.45">
      <c r="A15" s="14">
        <v>1.88</v>
      </c>
      <c r="D15" t="s">
        <v>46</v>
      </c>
    </row>
    <row r="16" spans="1:4" x14ac:dyDescent="0.45">
      <c r="A16" s="14">
        <v>1.8</v>
      </c>
    </row>
    <row r="17" spans="1:11" x14ac:dyDescent="0.45">
      <c r="A17" s="14">
        <v>1.66</v>
      </c>
      <c r="D17" t="s">
        <v>119</v>
      </c>
      <c r="F17">
        <f>COUNT(A15:A134)</f>
        <v>120</v>
      </c>
    </row>
    <row r="18" spans="1:11" x14ac:dyDescent="0.45">
      <c r="A18" s="14">
        <v>1.84</v>
      </c>
    </row>
    <row r="19" spans="1:11" x14ac:dyDescent="0.45">
      <c r="A19" s="14">
        <v>1.79</v>
      </c>
      <c r="D19" t="s">
        <v>120</v>
      </c>
      <c r="F19">
        <f>INT(LOG(120,2))+1</f>
        <v>7</v>
      </c>
    </row>
    <row r="20" spans="1:11" x14ac:dyDescent="0.45">
      <c r="A20" s="14">
        <v>1.7</v>
      </c>
    </row>
    <row r="21" spans="1:11" x14ac:dyDescent="0.45">
      <c r="A21" s="14">
        <v>1.8</v>
      </c>
      <c r="D21" t="s">
        <v>54</v>
      </c>
      <c r="E21" s="14">
        <f>MIN(A15:A134)</f>
        <v>1.66</v>
      </c>
    </row>
    <row r="22" spans="1:11" x14ac:dyDescent="0.45">
      <c r="A22" s="14">
        <v>1.87</v>
      </c>
      <c r="D22" t="s">
        <v>55</v>
      </c>
      <c r="E22" s="14">
        <f>MAX(A15:A134)</f>
        <v>1.99</v>
      </c>
    </row>
    <row r="23" spans="1:11" x14ac:dyDescent="0.45">
      <c r="A23" s="14">
        <v>1.7</v>
      </c>
    </row>
    <row r="24" spans="1:11" x14ac:dyDescent="0.45">
      <c r="A24" s="14">
        <v>1.75</v>
      </c>
      <c r="D24" t="s">
        <v>111</v>
      </c>
      <c r="F24" s="14">
        <f>(E22-E21)/7</f>
        <v>4.7142857142857153E-2</v>
      </c>
    </row>
    <row r="25" spans="1:11" x14ac:dyDescent="0.45">
      <c r="A25" s="14">
        <v>1.73</v>
      </c>
    </row>
    <row r="26" spans="1:11" x14ac:dyDescent="0.45">
      <c r="A26" s="14">
        <v>1.87</v>
      </c>
      <c r="D26" t="s">
        <v>121</v>
      </c>
      <c r="G26" t="s">
        <v>20</v>
      </c>
    </row>
    <row r="27" spans="1:11" x14ac:dyDescent="0.45">
      <c r="A27" s="14">
        <v>1.76</v>
      </c>
      <c r="D27" s="14">
        <v>1.65</v>
      </c>
      <c r="G27" t="s">
        <v>41</v>
      </c>
      <c r="H27" t="s">
        <v>11</v>
      </c>
      <c r="I27" t="s">
        <v>12</v>
      </c>
      <c r="J27" t="s">
        <v>42</v>
      </c>
      <c r="K27" t="s">
        <v>43</v>
      </c>
    </row>
    <row r="28" spans="1:11" x14ac:dyDescent="0.45">
      <c r="A28" s="14">
        <v>1.68</v>
      </c>
      <c r="D28" s="14">
        <f>D27+0.05</f>
        <v>1.7</v>
      </c>
      <c r="G28" t="str">
        <f>CONCATENATE("]",D27,";",D28,"]")</f>
        <v>]1,65;1,7]</v>
      </c>
      <c r="H28">
        <f t="array" ref="H28:H34">FREQUENCY(A15:A134,D28:D34)</f>
        <v>7</v>
      </c>
      <c r="I28" s="7">
        <f>H28/120</f>
        <v>5.8333333333333334E-2</v>
      </c>
      <c r="J28">
        <f>H28</f>
        <v>7</v>
      </c>
      <c r="K28" s="25">
        <f>I28</f>
        <v>5.8333333333333334E-2</v>
      </c>
    </row>
    <row r="29" spans="1:11" x14ac:dyDescent="0.45">
      <c r="A29" s="14">
        <v>1.95</v>
      </c>
      <c r="D29" s="14">
        <f t="shared" ref="D29:D34" si="0">D28+0.05</f>
        <v>1.75</v>
      </c>
      <c r="G29" t="str">
        <f t="shared" ref="G29:G34" si="1">CONCATENATE("]",D28,";",D29,"]")</f>
        <v>]1,7;1,75]</v>
      </c>
      <c r="H29">
        <v>13</v>
      </c>
      <c r="I29" s="7">
        <f t="shared" ref="I29:I34" si="2">H29/120</f>
        <v>0.10833333333333334</v>
      </c>
      <c r="J29">
        <f>J28+H29</f>
        <v>20</v>
      </c>
      <c r="K29" s="25">
        <f>K28+I29</f>
        <v>0.16666666666666669</v>
      </c>
    </row>
    <row r="30" spans="1:11" x14ac:dyDescent="0.45">
      <c r="A30" s="14">
        <v>1.78</v>
      </c>
      <c r="D30" s="14">
        <f t="shared" si="0"/>
        <v>1.8</v>
      </c>
      <c r="G30" t="str">
        <f t="shared" si="1"/>
        <v>]1,75;1,8]</v>
      </c>
      <c r="H30">
        <v>35</v>
      </c>
      <c r="I30" s="7">
        <f t="shared" si="2"/>
        <v>0.29166666666666669</v>
      </c>
      <c r="J30">
        <f t="shared" ref="J30:J34" si="3">J29+H30</f>
        <v>55</v>
      </c>
      <c r="K30" s="25">
        <f t="shared" ref="K30:K34" si="4">K29+I30</f>
        <v>0.45833333333333337</v>
      </c>
    </row>
    <row r="31" spans="1:11" x14ac:dyDescent="0.45">
      <c r="A31" s="14">
        <v>1.75</v>
      </c>
      <c r="D31" s="14">
        <f t="shared" si="0"/>
        <v>1.85</v>
      </c>
      <c r="G31" t="str">
        <f t="shared" si="1"/>
        <v>]1,8;1,85]</v>
      </c>
      <c r="H31">
        <v>30</v>
      </c>
      <c r="I31" s="7">
        <f t="shared" si="2"/>
        <v>0.25</v>
      </c>
      <c r="J31">
        <f t="shared" si="3"/>
        <v>85</v>
      </c>
      <c r="K31" s="25">
        <f t="shared" si="4"/>
        <v>0.70833333333333337</v>
      </c>
    </row>
    <row r="32" spans="1:11" x14ac:dyDescent="0.45">
      <c r="A32" s="14">
        <v>1.89</v>
      </c>
      <c r="D32" s="14">
        <f t="shared" si="0"/>
        <v>1.9000000000000001</v>
      </c>
      <c r="G32" t="str">
        <f t="shared" si="1"/>
        <v>]1,85;1,9]</v>
      </c>
      <c r="H32">
        <v>25</v>
      </c>
      <c r="I32" s="7">
        <f t="shared" si="2"/>
        <v>0.20833333333333334</v>
      </c>
      <c r="J32">
        <f t="shared" si="3"/>
        <v>110</v>
      </c>
      <c r="K32" s="25">
        <f t="shared" si="4"/>
        <v>0.91666666666666674</v>
      </c>
    </row>
    <row r="33" spans="1:11" x14ac:dyDescent="0.45">
      <c r="A33" s="14">
        <v>1.75</v>
      </c>
      <c r="D33" s="14">
        <f t="shared" si="0"/>
        <v>1.9500000000000002</v>
      </c>
      <c r="G33" t="str">
        <f t="shared" si="1"/>
        <v>]1,9;1,95]</v>
      </c>
      <c r="H33">
        <v>8</v>
      </c>
      <c r="I33" s="7">
        <f t="shared" si="2"/>
        <v>6.6666666666666666E-2</v>
      </c>
      <c r="J33">
        <f t="shared" si="3"/>
        <v>118</v>
      </c>
      <c r="K33" s="25">
        <f t="shared" si="4"/>
        <v>0.98333333333333339</v>
      </c>
    </row>
    <row r="34" spans="1:11" x14ac:dyDescent="0.45">
      <c r="A34" s="14">
        <v>1.9</v>
      </c>
      <c r="D34" s="14">
        <f t="shared" si="0"/>
        <v>2</v>
      </c>
      <c r="G34" t="str">
        <f t="shared" si="1"/>
        <v>]1,95;2]</v>
      </c>
      <c r="H34">
        <v>2</v>
      </c>
      <c r="I34" s="7">
        <f t="shared" si="2"/>
        <v>1.6666666666666666E-2</v>
      </c>
      <c r="J34">
        <f t="shared" si="3"/>
        <v>120</v>
      </c>
      <c r="K34" s="25">
        <f t="shared" si="4"/>
        <v>1</v>
      </c>
    </row>
    <row r="35" spans="1:11" x14ac:dyDescent="0.45">
      <c r="A35" s="14">
        <v>1.82</v>
      </c>
      <c r="G35" t="s">
        <v>21</v>
      </c>
      <c r="H35">
        <f>SUM(H28:H34)</f>
        <v>120</v>
      </c>
      <c r="I35" s="25">
        <f>SUM(I28:I34)</f>
        <v>1</v>
      </c>
    </row>
    <row r="36" spans="1:11" x14ac:dyDescent="0.45">
      <c r="A36" s="14">
        <v>1.8</v>
      </c>
    </row>
    <row r="37" spans="1:11" x14ac:dyDescent="0.45">
      <c r="A37" s="14">
        <v>1.88</v>
      </c>
      <c r="D37" t="s">
        <v>122</v>
      </c>
    </row>
    <row r="38" spans="1:11" x14ac:dyDescent="0.45">
      <c r="A38" s="14">
        <v>1.87</v>
      </c>
    </row>
    <row r="39" spans="1:11" x14ac:dyDescent="0.45">
      <c r="A39" s="14">
        <v>1.76</v>
      </c>
    </row>
    <row r="40" spans="1:11" x14ac:dyDescent="0.45">
      <c r="A40" s="14">
        <v>1.88</v>
      </c>
    </row>
    <row r="41" spans="1:11" x14ac:dyDescent="0.45">
      <c r="A41" s="14">
        <v>1.83</v>
      </c>
    </row>
    <row r="42" spans="1:11" x14ac:dyDescent="0.45">
      <c r="A42" s="14">
        <v>1.92</v>
      </c>
    </row>
    <row r="43" spans="1:11" x14ac:dyDescent="0.45">
      <c r="A43" s="14">
        <v>1.82</v>
      </c>
    </row>
    <row r="44" spans="1:11" x14ac:dyDescent="0.45">
      <c r="A44" s="14">
        <v>1.9</v>
      </c>
    </row>
    <row r="45" spans="1:11" x14ac:dyDescent="0.45">
      <c r="A45" s="14">
        <v>1.76</v>
      </c>
    </row>
    <row r="46" spans="1:11" x14ac:dyDescent="0.45">
      <c r="A46" s="14">
        <v>1.83</v>
      </c>
    </row>
    <row r="47" spans="1:11" x14ac:dyDescent="0.45">
      <c r="A47" s="14">
        <v>1.85</v>
      </c>
    </row>
    <row r="48" spans="1:11" x14ac:dyDescent="0.45">
      <c r="A48" s="14">
        <v>1.78</v>
      </c>
    </row>
    <row r="49" spans="1:12" x14ac:dyDescent="0.45">
      <c r="A49" s="14">
        <v>1.75</v>
      </c>
    </row>
    <row r="50" spans="1:12" x14ac:dyDescent="0.45">
      <c r="A50" s="14">
        <v>1.85</v>
      </c>
    </row>
    <row r="51" spans="1:12" x14ac:dyDescent="0.45">
      <c r="A51" s="14">
        <v>1.98</v>
      </c>
    </row>
    <row r="52" spans="1:12" ht="14.65" thickBot="1" x14ac:dyDescent="0.5">
      <c r="A52" s="14">
        <v>1.81</v>
      </c>
    </row>
    <row r="53" spans="1:12" x14ac:dyDescent="0.45">
      <c r="A53" s="14">
        <v>1.91</v>
      </c>
      <c r="D53" t="s">
        <v>123</v>
      </c>
      <c r="E53" s="32" t="s">
        <v>73</v>
      </c>
      <c r="F53" s="32"/>
    </row>
    <row r="54" spans="1:12" x14ac:dyDescent="0.45">
      <c r="A54" s="14">
        <v>1.92</v>
      </c>
      <c r="H54" t="s">
        <v>167</v>
      </c>
    </row>
    <row r="55" spans="1:12" x14ac:dyDescent="0.45">
      <c r="A55" s="14">
        <v>1.83</v>
      </c>
      <c r="E55" t="s">
        <v>74</v>
      </c>
      <c r="F55">
        <v>1.8190833333333338</v>
      </c>
      <c r="H55" t="s">
        <v>168</v>
      </c>
    </row>
    <row r="56" spans="1:12" x14ac:dyDescent="0.45">
      <c r="A56" s="14">
        <v>1.8</v>
      </c>
      <c r="E56" t="s">
        <v>75</v>
      </c>
      <c r="F56">
        <v>5.9679299712650288E-3</v>
      </c>
      <c r="H56" t="s">
        <v>124</v>
      </c>
      <c r="L56">
        <f>F65-F64</f>
        <v>0.33000000000000007</v>
      </c>
    </row>
    <row r="57" spans="1:12" x14ac:dyDescent="0.45">
      <c r="A57" s="14">
        <v>1.95</v>
      </c>
      <c r="E57" t="s">
        <v>76</v>
      </c>
      <c r="F57">
        <v>1.82</v>
      </c>
      <c r="H57" t="s">
        <v>169</v>
      </c>
    </row>
    <row r="58" spans="1:12" x14ac:dyDescent="0.45">
      <c r="A58" s="14">
        <v>1.89</v>
      </c>
      <c r="E58" t="s">
        <v>77</v>
      </c>
      <c r="F58">
        <v>1.8</v>
      </c>
    </row>
    <row r="59" spans="1:12" x14ac:dyDescent="0.45">
      <c r="A59" s="14">
        <v>1.77</v>
      </c>
      <c r="E59" t="s">
        <v>78</v>
      </c>
      <c r="F59">
        <v>6.5375397337460284E-2</v>
      </c>
    </row>
    <row r="60" spans="1:12" x14ac:dyDescent="0.45">
      <c r="A60" s="14">
        <v>1.7</v>
      </c>
      <c r="E60" t="s">
        <v>79</v>
      </c>
      <c r="F60">
        <v>4.2739425770308087E-3</v>
      </c>
    </row>
    <row r="61" spans="1:12" x14ac:dyDescent="0.45">
      <c r="A61" s="14">
        <v>1.88</v>
      </c>
      <c r="E61" t="s">
        <v>80</v>
      </c>
      <c r="F61">
        <v>-0.18646006386078406</v>
      </c>
    </row>
    <row r="62" spans="1:12" x14ac:dyDescent="0.45">
      <c r="A62" s="14">
        <v>1.8</v>
      </c>
      <c r="E62" t="s">
        <v>81</v>
      </c>
      <c r="F62">
        <v>2.2441481844546852E-2</v>
      </c>
    </row>
    <row r="63" spans="1:12" x14ac:dyDescent="0.45">
      <c r="A63" s="14">
        <v>1.85</v>
      </c>
      <c r="E63" t="s">
        <v>82</v>
      </c>
      <c r="F63">
        <v>0.33000000000000007</v>
      </c>
    </row>
    <row r="64" spans="1:12" x14ac:dyDescent="0.45">
      <c r="A64" s="14">
        <v>1.88</v>
      </c>
      <c r="E64" t="s">
        <v>37</v>
      </c>
      <c r="F64">
        <v>1.66</v>
      </c>
    </row>
    <row r="65" spans="1:6" x14ac:dyDescent="0.45">
      <c r="A65" s="14">
        <v>1.85</v>
      </c>
      <c r="E65" t="s">
        <v>38</v>
      </c>
      <c r="F65">
        <v>1.99</v>
      </c>
    </row>
    <row r="66" spans="1:6" x14ac:dyDescent="0.45">
      <c r="A66" s="14">
        <v>1.73</v>
      </c>
      <c r="E66" t="s">
        <v>83</v>
      </c>
      <c r="F66">
        <v>218.29000000000005</v>
      </c>
    </row>
    <row r="67" spans="1:6" ht="14.65" thickBot="1" x14ac:dyDescent="0.5">
      <c r="A67" s="14">
        <v>1.71</v>
      </c>
      <c r="E67" s="31" t="s">
        <v>84</v>
      </c>
      <c r="F67" s="31">
        <v>120</v>
      </c>
    </row>
    <row r="68" spans="1:6" x14ac:dyDescent="0.45">
      <c r="A68" s="14">
        <v>1.82</v>
      </c>
    </row>
    <row r="69" spans="1:6" x14ac:dyDescent="0.45">
      <c r="A69" s="14">
        <v>1.77</v>
      </c>
    </row>
    <row r="70" spans="1:6" x14ac:dyDescent="0.45">
      <c r="A70" s="14">
        <v>1.8</v>
      </c>
    </row>
    <row r="71" spans="1:6" x14ac:dyDescent="0.45">
      <c r="A71" s="14">
        <v>1.7</v>
      </c>
    </row>
    <row r="72" spans="1:6" x14ac:dyDescent="0.45">
      <c r="A72" s="14">
        <v>1.71</v>
      </c>
    </row>
    <row r="73" spans="1:6" x14ac:dyDescent="0.45">
      <c r="A73" s="14">
        <v>1.83</v>
      </c>
    </row>
    <row r="74" spans="1:6" x14ac:dyDescent="0.45">
      <c r="A74" s="14">
        <v>1.76</v>
      </c>
    </row>
    <row r="75" spans="1:6" x14ac:dyDescent="0.45">
      <c r="A75" s="14">
        <v>1.82</v>
      </c>
    </row>
    <row r="76" spans="1:6" x14ac:dyDescent="0.45">
      <c r="A76" s="14">
        <v>1.92</v>
      </c>
    </row>
    <row r="77" spans="1:6" x14ac:dyDescent="0.45">
      <c r="A77" s="14">
        <v>1.8</v>
      </c>
    </row>
    <row r="78" spans="1:6" x14ac:dyDescent="0.45">
      <c r="A78" s="14">
        <v>1.85</v>
      </c>
    </row>
    <row r="79" spans="1:6" x14ac:dyDescent="0.45">
      <c r="A79" s="14">
        <v>1.76</v>
      </c>
    </row>
    <row r="80" spans="1:6" x14ac:dyDescent="0.45">
      <c r="A80" s="14">
        <v>1.74</v>
      </c>
    </row>
    <row r="81" spans="1:1" x14ac:dyDescent="0.45">
      <c r="A81" s="14">
        <v>1.8</v>
      </c>
    </row>
    <row r="82" spans="1:1" x14ac:dyDescent="0.45">
      <c r="A82" s="14">
        <v>1.84</v>
      </c>
    </row>
    <row r="83" spans="1:1" x14ac:dyDescent="0.45">
      <c r="A83" s="14">
        <v>1.84</v>
      </c>
    </row>
    <row r="84" spans="1:1" x14ac:dyDescent="0.45">
      <c r="A84" s="14">
        <v>1.91</v>
      </c>
    </row>
    <row r="85" spans="1:1" x14ac:dyDescent="0.45">
      <c r="A85" s="14">
        <v>1.8</v>
      </c>
    </row>
    <row r="86" spans="1:1" x14ac:dyDescent="0.45">
      <c r="A86" s="14">
        <v>1.84</v>
      </c>
    </row>
    <row r="87" spans="1:1" x14ac:dyDescent="0.45">
      <c r="A87" s="14">
        <v>1.86</v>
      </c>
    </row>
    <row r="88" spans="1:1" x14ac:dyDescent="0.45">
      <c r="A88" s="14">
        <v>1.88</v>
      </c>
    </row>
    <row r="89" spans="1:1" x14ac:dyDescent="0.45">
      <c r="A89" s="14">
        <v>1.75</v>
      </c>
    </row>
    <row r="90" spans="1:1" x14ac:dyDescent="0.45">
      <c r="A90" s="14">
        <v>1.84</v>
      </c>
    </row>
    <row r="91" spans="1:1" x14ac:dyDescent="0.45">
      <c r="A91" s="14">
        <v>1.7</v>
      </c>
    </row>
    <row r="92" spans="1:1" x14ac:dyDescent="0.45">
      <c r="A92" s="14">
        <v>1.8</v>
      </c>
    </row>
    <row r="93" spans="1:1" x14ac:dyDescent="0.45">
      <c r="A93" s="14">
        <v>1.83</v>
      </c>
    </row>
    <row r="94" spans="1:1" x14ac:dyDescent="0.45">
      <c r="A94" s="14">
        <v>1.83</v>
      </c>
    </row>
    <row r="95" spans="1:1" x14ac:dyDescent="0.45">
      <c r="A95" s="14">
        <v>1.79</v>
      </c>
    </row>
    <row r="96" spans="1:1" x14ac:dyDescent="0.45">
      <c r="A96" s="14">
        <v>1.76</v>
      </c>
    </row>
    <row r="97" spans="1:1" x14ac:dyDescent="0.45">
      <c r="A97" s="14">
        <v>1.81</v>
      </c>
    </row>
    <row r="98" spans="1:1" x14ac:dyDescent="0.45">
      <c r="A98" s="14">
        <v>1.83</v>
      </c>
    </row>
    <row r="99" spans="1:1" x14ac:dyDescent="0.45">
      <c r="A99" s="14">
        <v>1.89</v>
      </c>
    </row>
    <row r="100" spans="1:1" x14ac:dyDescent="0.45">
      <c r="A100" s="14">
        <v>1.87</v>
      </c>
    </row>
    <row r="101" spans="1:1" x14ac:dyDescent="0.45">
      <c r="A101" s="14">
        <v>1.84</v>
      </c>
    </row>
    <row r="102" spans="1:1" x14ac:dyDescent="0.45">
      <c r="A102" s="14">
        <v>1.99</v>
      </c>
    </row>
    <row r="103" spans="1:1" x14ac:dyDescent="0.45">
      <c r="A103" s="14">
        <v>1.8</v>
      </c>
    </row>
    <row r="104" spans="1:1" x14ac:dyDescent="0.45">
      <c r="A104" s="14">
        <v>1.87</v>
      </c>
    </row>
    <row r="105" spans="1:1" x14ac:dyDescent="0.45">
      <c r="A105" s="14">
        <v>1.88</v>
      </c>
    </row>
    <row r="106" spans="1:1" x14ac:dyDescent="0.45">
      <c r="A106" s="14">
        <v>1.81</v>
      </c>
    </row>
    <row r="107" spans="1:1" x14ac:dyDescent="0.45">
      <c r="A107" s="14">
        <v>1.78</v>
      </c>
    </row>
    <row r="108" spans="1:1" x14ac:dyDescent="0.45">
      <c r="A108" s="14">
        <v>1.85</v>
      </c>
    </row>
    <row r="109" spans="1:1" x14ac:dyDescent="0.45">
      <c r="A109" s="14">
        <v>1.84</v>
      </c>
    </row>
    <row r="110" spans="1:1" x14ac:dyDescent="0.45">
      <c r="A110" s="14">
        <v>1.8</v>
      </c>
    </row>
    <row r="111" spans="1:1" x14ac:dyDescent="0.45">
      <c r="A111" s="14">
        <v>1.86</v>
      </c>
    </row>
    <row r="112" spans="1:1" x14ac:dyDescent="0.45">
      <c r="A112" s="14">
        <v>1.85</v>
      </c>
    </row>
    <row r="113" spans="1:1" x14ac:dyDescent="0.45">
      <c r="A113" s="14">
        <v>1.9</v>
      </c>
    </row>
    <row r="114" spans="1:1" x14ac:dyDescent="0.45">
      <c r="A114" s="14">
        <v>1.89</v>
      </c>
    </row>
    <row r="115" spans="1:1" x14ac:dyDescent="0.45">
      <c r="A115" s="14">
        <v>1.78</v>
      </c>
    </row>
    <row r="116" spans="1:1" x14ac:dyDescent="0.45">
      <c r="A116" s="14">
        <v>1.79</v>
      </c>
    </row>
    <row r="117" spans="1:1" x14ac:dyDescent="0.45">
      <c r="A117" s="14">
        <v>1.8</v>
      </c>
    </row>
    <row r="118" spans="1:1" x14ac:dyDescent="0.45">
      <c r="A118" s="14">
        <v>1.72</v>
      </c>
    </row>
    <row r="119" spans="1:1" x14ac:dyDescent="0.45">
      <c r="A119" s="14">
        <v>1.78</v>
      </c>
    </row>
    <row r="120" spans="1:1" x14ac:dyDescent="0.45">
      <c r="A120" s="14">
        <v>1.82</v>
      </c>
    </row>
    <row r="121" spans="1:1" x14ac:dyDescent="0.45">
      <c r="A121" s="14">
        <v>1.88</v>
      </c>
    </row>
    <row r="122" spans="1:1" x14ac:dyDescent="0.45">
      <c r="A122" s="14">
        <v>1.8</v>
      </c>
    </row>
    <row r="123" spans="1:1" x14ac:dyDescent="0.45">
      <c r="A123" s="14">
        <v>1.75</v>
      </c>
    </row>
    <row r="124" spans="1:1" x14ac:dyDescent="0.45">
      <c r="A124" s="14">
        <v>1.76</v>
      </c>
    </row>
    <row r="125" spans="1:1" x14ac:dyDescent="0.45">
      <c r="A125" s="14">
        <v>1.75</v>
      </c>
    </row>
    <row r="126" spans="1:1" x14ac:dyDescent="0.45">
      <c r="A126" s="14">
        <v>1.86</v>
      </c>
    </row>
    <row r="127" spans="1:1" x14ac:dyDescent="0.45">
      <c r="A127" s="14">
        <v>1.8</v>
      </c>
    </row>
    <row r="128" spans="1:1" x14ac:dyDescent="0.45">
      <c r="A128" s="14">
        <v>1.85</v>
      </c>
    </row>
    <row r="129" spans="1:1" x14ac:dyDescent="0.45">
      <c r="A129" s="14">
        <v>1.89</v>
      </c>
    </row>
    <row r="130" spans="1:1" x14ac:dyDescent="0.45">
      <c r="A130" s="14">
        <v>1.78</v>
      </c>
    </row>
    <row r="131" spans="1:1" x14ac:dyDescent="0.45">
      <c r="A131" s="14">
        <v>1.77</v>
      </c>
    </row>
    <row r="132" spans="1:1" x14ac:dyDescent="0.45">
      <c r="A132" s="14">
        <v>1.8</v>
      </c>
    </row>
    <row r="133" spans="1:1" x14ac:dyDescent="0.45">
      <c r="A133" s="14">
        <v>1.93</v>
      </c>
    </row>
    <row r="134" spans="1:1" x14ac:dyDescent="0.45">
      <c r="A134" s="14">
        <v>1.86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57CD-527E-4CB9-8242-6AFC59E2CE53}">
  <dimension ref="A11:K52"/>
  <sheetViews>
    <sheetView topLeftCell="A22" zoomScale="115" zoomScaleNormal="115" workbookViewId="0">
      <selection activeCell="J39" sqref="J39"/>
    </sheetView>
  </sheetViews>
  <sheetFormatPr defaultRowHeight="14.25" x14ac:dyDescent="0.45"/>
  <sheetData>
    <row r="11" spans="1:9" x14ac:dyDescent="0.45">
      <c r="A11" s="1" t="s">
        <v>5</v>
      </c>
      <c r="E11" t="s">
        <v>170</v>
      </c>
    </row>
    <row r="12" spans="1:9" x14ac:dyDescent="0.45">
      <c r="E12" t="s">
        <v>125</v>
      </c>
    </row>
    <row r="13" spans="1:9" x14ac:dyDescent="0.45">
      <c r="A13">
        <v>24</v>
      </c>
    </row>
    <row r="14" spans="1:9" x14ac:dyDescent="0.45">
      <c r="A14">
        <v>24</v>
      </c>
      <c r="E14" t="s">
        <v>126</v>
      </c>
      <c r="F14">
        <f>COUNT(A13:A52)</f>
        <v>40</v>
      </c>
    </row>
    <row r="15" spans="1:9" x14ac:dyDescent="0.45">
      <c r="A15">
        <v>24</v>
      </c>
    </row>
    <row r="16" spans="1:9" x14ac:dyDescent="0.45">
      <c r="A16">
        <v>23</v>
      </c>
      <c r="E16" t="s">
        <v>127</v>
      </c>
      <c r="G16">
        <f>INT(LOG(40,2))+1</f>
        <v>6</v>
      </c>
      <c r="I16" t="s">
        <v>137</v>
      </c>
    </row>
    <row r="17" spans="1:11" x14ac:dyDescent="0.45">
      <c r="A17">
        <v>27</v>
      </c>
    </row>
    <row r="18" spans="1:11" x14ac:dyDescent="0.45">
      <c r="A18">
        <v>26</v>
      </c>
      <c r="E18" t="s">
        <v>54</v>
      </c>
      <c r="F18">
        <f>MIN(A13:A52)</f>
        <v>23</v>
      </c>
    </row>
    <row r="19" spans="1:11" x14ac:dyDescent="0.45">
      <c r="A19">
        <v>26</v>
      </c>
      <c r="E19" t="s">
        <v>55</v>
      </c>
      <c r="F19">
        <f>MAX(A13:A52)</f>
        <v>28</v>
      </c>
    </row>
    <row r="20" spans="1:11" x14ac:dyDescent="0.45">
      <c r="A20">
        <v>27</v>
      </c>
    </row>
    <row r="21" spans="1:11" x14ac:dyDescent="0.45">
      <c r="A21">
        <v>26</v>
      </c>
      <c r="E21" t="s">
        <v>128</v>
      </c>
      <c r="G21">
        <f>(F19-F18)/6</f>
        <v>0.83333333333333337</v>
      </c>
      <c r="H21" t="s">
        <v>129</v>
      </c>
      <c r="K21" t="s">
        <v>157</v>
      </c>
    </row>
    <row r="22" spans="1:11" x14ac:dyDescent="0.45">
      <c r="A22">
        <v>26</v>
      </c>
    </row>
    <row r="23" spans="1:11" x14ac:dyDescent="0.45">
      <c r="A23">
        <v>23</v>
      </c>
      <c r="F23" t="s">
        <v>10</v>
      </c>
      <c r="G23" t="s">
        <v>11</v>
      </c>
      <c r="H23" t="s">
        <v>12</v>
      </c>
      <c r="I23" t="s">
        <v>42</v>
      </c>
      <c r="J23" t="s">
        <v>43</v>
      </c>
    </row>
    <row r="24" spans="1:11" x14ac:dyDescent="0.45">
      <c r="A24">
        <v>28</v>
      </c>
      <c r="F24">
        <v>23</v>
      </c>
      <c r="G24">
        <f>COUNTIF($A$13:$A$52,F24)</f>
        <v>4</v>
      </c>
      <c r="H24" s="7">
        <f>G24/40</f>
        <v>0.1</v>
      </c>
      <c r="I24" s="24">
        <f>G24</f>
        <v>4</v>
      </c>
      <c r="J24" s="25">
        <f>H24</f>
        <v>0.1</v>
      </c>
    </row>
    <row r="25" spans="1:11" x14ac:dyDescent="0.45">
      <c r="A25">
        <v>28</v>
      </c>
      <c r="F25">
        <v>24</v>
      </c>
      <c r="G25">
        <f t="shared" ref="G25:G29" si="0">COUNTIF($A$13:$A$52,F25)</f>
        <v>7</v>
      </c>
      <c r="H25" s="7">
        <f t="shared" ref="H25:H29" si="1">G25/40</f>
        <v>0.17499999999999999</v>
      </c>
      <c r="I25" s="24">
        <f>I24+G25</f>
        <v>11</v>
      </c>
      <c r="J25" s="25">
        <f>J24+H25</f>
        <v>0.27500000000000002</v>
      </c>
    </row>
    <row r="26" spans="1:11" x14ac:dyDescent="0.45">
      <c r="A26">
        <v>27</v>
      </c>
      <c r="F26">
        <v>25</v>
      </c>
      <c r="G26">
        <f t="shared" si="0"/>
        <v>6</v>
      </c>
      <c r="H26" s="7">
        <f t="shared" si="1"/>
        <v>0.15</v>
      </c>
      <c r="I26" s="24">
        <f t="shared" ref="I26:I29" si="2">I25+G26</f>
        <v>17</v>
      </c>
      <c r="J26" s="25">
        <f t="shared" ref="J26:J29" si="3">J25+H26</f>
        <v>0.42500000000000004</v>
      </c>
    </row>
    <row r="27" spans="1:11" x14ac:dyDescent="0.45">
      <c r="A27">
        <v>25</v>
      </c>
      <c r="F27">
        <v>26</v>
      </c>
      <c r="G27">
        <f t="shared" si="0"/>
        <v>9</v>
      </c>
      <c r="H27" s="7">
        <f t="shared" si="1"/>
        <v>0.22500000000000001</v>
      </c>
      <c r="I27" s="24">
        <f t="shared" si="2"/>
        <v>26</v>
      </c>
      <c r="J27" s="25">
        <f t="shared" si="3"/>
        <v>0.65</v>
      </c>
    </row>
    <row r="28" spans="1:11" x14ac:dyDescent="0.45">
      <c r="A28">
        <v>27</v>
      </c>
      <c r="F28">
        <v>27</v>
      </c>
      <c r="G28">
        <f t="shared" si="0"/>
        <v>8</v>
      </c>
      <c r="H28" s="7">
        <f t="shared" si="1"/>
        <v>0.2</v>
      </c>
      <c r="I28" s="24">
        <f t="shared" si="2"/>
        <v>34</v>
      </c>
      <c r="J28" s="25">
        <f>J27+H28</f>
        <v>0.85000000000000009</v>
      </c>
    </row>
    <row r="29" spans="1:11" x14ac:dyDescent="0.45">
      <c r="A29">
        <v>25</v>
      </c>
      <c r="F29">
        <v>28</v>
      </c>
      <c r="G29">
        <f t="shared" si="0"/>
        <v>6</v>
      </c>
      <c r="H29" s="7">
        <f t="shared" si="1"/>
        <v>0.15</v>
      </c>
      <c r="I29" s="24">
        <f t="shared" si="2"/>
        <v>40</v>
      </c>
      <c r="J29" s="25">
        <f t="shared" si="3"/>
        <v>1</v>
      </c>
    </row>
    <row r="30" spans="1:11" x14ac:dyDescent="0.45">
      <c r="A30">
        <v>28</v>
      </c>
      <c r="F30" t="s">
        <v>21</v>
      </c>
      <c r="G30">
        <f>SUM(G24:G29)</f>
        <v>40</v>
      </c>
      <c r="H30" s="25">
        <f>SUM(H24:H29)</f>
        <v>1</v>
      </c>
    </row>
    <row r="31" spans="1:11" x14ac:dyDescent="0.45">
      <c r="A31">
        <v>27</v>
      </c>
    </row>
    <row r="32" spans="1:11" ht="14.65" thickBot="1" x14ac:dyDescent="0.5">
      <c r="A32">
        <v>24</v>
      </c>
    </row>
    <row r="33" spans="1:11" x14ac:dyDescent="0.45">
      <c r="A33">
        <v>23</v>
      </c>
      <c r="E33" t="s">
        <v>130</v>
      </c>
      <c r="F33" s="32" t="s">
        <v>131</v>
      </c>
      <c r="G33" s="32"/>
    </row>
    <row r="34" spans="1:11" x14ac:dyDescent="0.45">
      <c r="A34">
        <v>23</v>
      </c>
      <c r="I34" t="s">
        <v>132</v>
      </c>
      <c r="J34" t="s">
        <v>135</v>
      </c>
    </row>
    <row r="35" spans="1:11" x14ac:dyDescent="0.45">
      <c r="A35">
        <v>28</v>
      </c>
      <c r="F35" t="s">
        <v>74</v>
      </c>
      <c r="G35">
        <v>25.743589743589745</v>
      </c>
      <c r="I35" t="s">
        <v>133</v>
      </c>
      <c r="K35">
        <v>1.6</v>
      </c>
    </row>
    <row r="36" spans="1:11" x14ac:dyDescent="0.45">
      <c r="A36">
        <v>26</v>
      </c>
      <c r="F36" t="s">
        <v>75</v>
      </c>
      <c r="G36">
        <v>0.25376503290850821</v>
      </c>
    </row>
    <row r="37" spans="1:11" x14ac:dyDescent="0.45">
      <c r="A37">
        <v>28</v>
      </c>
      <c r="F37" t="s">
        <v>76</v>
      </c>
      <c r="G37">
        <v>26</v>
      </c>
    </row>
    <row r="38" spans="1:11" x14ac:dyDescent="0.45">
      <c r="A38">
        <v>27</v>
      </c>
      <c r="F38" t="s">
        <v>77</v>
      </c>
      <c r="G38">
        <v>26</v>
      </c>
      <c r="I38" t="s">
        <v>134</v>
      </c>
      <c r="J38" t="s">
        <v>158</v>
      </c>
    </row>
    <row r="39" spans="1:11" x14ac:dyDescent="0.45">
      <c r="A39">
        <v>25</v>
      </c>
      <c r="F39" t="s">
        <v>78</v>
      </c>
      <c r="G39">
        <v>1.58476212257714</v>
      </c>
      <c r="I39">
        <f>COUNTIF(A13:A52,"&lt;=25")</f>
        <v>17</v>
      </c>
      <c r="J39">
        <f>17/40</f>
        <v>0.42499999999999999</v>
      </c>
    </row>
    <row r="40" spans="1:11" x14ac:dyDescent="0.45">
      <c r="A40">
        <v>26</v>
      </c>
      <c r="F40" t="s">
        <v>79</v>
      </c>
      <c r="G40">
        <v>2.5114709851551935</v>
      </c>
    </row>
    <row r="41" spans="1:11" x14ac:dyDescent="0.45">
      <c r="A41">
        <v>25</v>
      </c>
      <c r="F41" t="s">
        <v>80</v>
      </c>
      <c r="G41">
        <v>-1.0073129308623177</v>
      </c>
    </row>
    <row r="42" spans="1:11" x14ac:dyDescent="0.45">
      <c r="A42">
        <v>26</v>
      </c>
      <c r="F42" t="s">
        <v>81</v>
      </c>
      <c r="G42">
        <v>-0.22253081581196946</v>
      </c>
    </row>
    <row r="43" spans="1:11" x14ac:dyDescent="0.45">
      <c r="A43">
        <v>25</v>
      </c>
      <c r="F43" t="s">
        <v>82</v>
      </c>
      <c r="G43">
        <v>5</v>
      </c>
    </row>
    <row r="44" spans="1:11" x14ac:dyDescent="0.45">
      <c r="A44">
        <v>26</v>
      </c>
      <c r="F44" t="s">
        <v>37</v>
      </c>
      <c r="G44">
        <v>23</v>
      </c>
    </row>
    <row r="45" spans="1:11" x14ac:dyDescent="0.45">
      <c r="A45">
        <v>26</v>
      </c>
      <c r="F45" t="s">
        <v>38</v>
      </c>
      <c r="G45">
        <v>28</v>
      </c>
    </row>
    <row r="46" spans="1:11" x14ac:dyDescent="0.45">
      <c r="A46">
        <v>27</v>
      </c>
      <c r="F46" t="s">
        <v>83</v>
      </c>
      <c r="G46">
        <v>1004</v>
      </c>
    </row>
    <row r="47" spans="1:11" ht="14.65" thickBot="1" x14ac:dyDescent="0.5">
      <c r="A47">
        <v>24</v>
      </c>
      <c r="F47" s="31" t="s">
        <v>84</v>
      </c>
      <c r="G47" s="31">
        <v>39</v>
      </c>
    </row>
    <row r="48" spans="1:11" x14ac:dyDescent="0.45">
      <c r="A48">
        <v>25</v>
      </c>
    </row>
    <row r="49" spans="1:1" x14ac:dyDescent="0.45">
      <c r="A49">
        <v>28</v>
      </c>
    </row>
    <row r="50" spans="1:1" x14ac:dyDescent="0.45">
      <c r="A50">
        <v>24</v>
      </c>
    </row>
    <row r="51" spans="1:1" x14ac:dyDescent="0.45">
      <c r="A51">
        <v>27</v>
      </c>
    </row>
    <row r="52" spans="1:1" x14ac:dyDescent="0.45">
      <c r="A52">
        <v>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5F3E-44C8-4AAD-AFFC-0F8BE26EBD2A}">
  <dimension ref="A14:L164"/>
  <sheetViews>
    <sheetView topLeftCell="A43" workbookViewId="0">
      <selection activeCell="I61" sqref="I61"/>
    </sheetView>
  </sheetViews>
  <sheetFormatPr defaultRowHeight="14.25" x14ac:dyDescent="0.45"/>
  <sheetData>
    <row r="14" spans="1:5" x14ac:dyDescent="0.45">
      <c r="A14" s="1" t="s">
        <v>0</v>
      </c>
      <c r="E14" t="s">
        <v>171</v>
      </c>
    </row>
    <row r="15" spans="1:5" x14ac:dyDescent="0.45">
      <c r="A15">
        <v>169</v>
      </c>
      <c r="E15" t="s">
        <v>152</v>
      </c>
    </row>
    <row r="16" spans="1:5" x14ac:dyDescent="0.45">
      <c r="A16">
        <v>143</v>
      </c>
      <c r="E16" s="1" t="s">
        <v>172</v>
      </c>
    </row>
    <row r="17" spans="1:12" x14ac:dyDescent="0.45">
      <c r="A17">
        <v>190</v>
      </c>
    </row>
    <row r="18" spans="1:12" x14ac:dyDescent="0.45">
      <c r="A18">
        <v>184</v>
      </c>
      <c r="E18" t="s">
        <v>173</v>
      </c>
      <c r="F18">
        <f>COUNT(A15:A164)</f>
        <v>150</v>
      </c>
    </row>
    <row r="19" spans="1:12" x14ac:dyDescent="0.45">
      <c r="A19">
        <v>174</v>
      </c>
      <c r="E19" t="s">
        <v>55</v>
      </c>
      <c r="F19">
        <f>MAX(A15:A164)</f>
        <v>198</v>
      </c>
    </row>
    <row r="20" spans="1:12" x14ac:dyDescent="0.45">
      <c r="A20">
        <v>162</v>
      </c>
      <c r="E20" t="s">
        <v>54</v>
      </c>
      <c r="F20">
        <f>MIN(A15:A164)</f>
        <v>103</v>
      </c>
    </row>
    <row r="21" spans="1:12" x14ac:dyDescent="0.45">
      <c r="A21">
        <v>157</v>
      </c>
      <c r="E21" t="s">
        <v>90</v>
      </c>
      <c r="F21">
        <f>F19-F20</f>
        <v>95</v>
      </c>
    </row>
    <row r="22" spans="1:12" x14ac:dyDescent="0.45">
      <c r="A22">
        <v>176</v>
      </c>
      <c r="E22" t="s">
        <v>175</v>
      </c>
      <c r="G22">
        <f>INT(LOG(F18,2))+1</f>
        <v>8</v>
      </c>
    </row>
    <row r="23" spans="1:12" x14ac:dyDescent="0.45">
      <c r="A23">
        <v>125</v>
      </c>
      <c r="E23" t="s">
        <v>174</v>
      </c>
      <c r="G23">
        <f>(F19-F20)/8</f>
        <v>11.875</v>
      </c>
      <c r="H23" t="s">
        <v>176</v>
      </c>
    </row>
    <row r="24" spans="1:12" x14ac:dyDescent="0.45">
      <c r="A24">
        <v>173</v>
      </c>
    </row>
    <row r="25" spans="1:12" x14ac:dyDescent="0.45">
      <c r="A25">
        <v>126</v>
      </c>
    </row>
    <row r="26" spans="1:12" x14ac:dyDescent="0.45">
      <c r="A26">
        <v>194</v>
      </c>
      <c r="E26" t="s">
        <v>57</v>
      </c>
      <c r="H26" t="s">
        <v>20</v>
      </c>
    </row>
    <row r="27" spans="1:12" x14ac:dyDescent="0.45">
      <c r="A27">
        <v>150</v>
      </c>
      <c r="E27">
        <v>102</v>
      </c>
      <c r="H27" t="s">
        <v>41</v>
      </c>
      <c r="I27" t="s">
        <v>11</v>
      </c>
      <c r="J27" t="s">
        <v>12</v>
      </c>
      <c r="K27" t="s">
        <v>42</v>
      </c>
      <c r="L27" t="s">
        <v>43</v>
      </c>
    </row>
    <row r="28" spans="1:12" x14ac:dyDescent="0.45">
      <c r="A28">
        <v>133</v>
      </c>
      <c r="E28">
        <f>E27+12</f>
        <v>114</v>
      </c>
      <c r="H28" t="str">
        <f>CONCATENATE("]",E27,";",E28,"]")</f>
        <v>]102;114]</v>
      </c>
      <c r="I28">
        <f t="array" ref="I28:I35">FREQUENCY(A15:A164,E28:E35)</f>
        <v>14</v>
      </c>
      <c r="J28" s="54">
        <f>I28/150</f>
        <v>9.3333333333333338E-2</v>
      </c>
      <c r="K28">
        <f>I28</f>
        <v>14</v>
      </c>
      <c r="L28" s="13">
        <f>J28</f>
        <v>9.3333333333333338E-2</v>
      </c>
    </row>
    <row r="29" spans="1:12" x14ac:dyDescent="0.45">
      <c r="A29">
        <v>130</v>
      </c>
      <c r="E29">
        <f t="shared" ref="E29:E35" si="0">E28+12</f>
        <v>126</v>
      </c>
      <c r="H29" t="str">
        <f t="shared" ref="H29:H35" si="1">CONCATENATE("]",E28,";",E29,"]")</f>
        <v>]114;126]</v>
      </c>
      <c r="I29">
        <v>21</v>
      </c>
      <c r="J29" s="54">
        <f t="shared" ref="J29:J35" si="2">I29/150</f>
        <v>0.14000000000000001</v>
      </c>
      <c r="K29">
        <f>K28+I29</f>
        <v>35</v>
      </c>
      <c r="L29" s="13">
        <f>L28+J29</f>
        <v>0.23333333333333334</v>
      </c>
    </row>
    <row r="30" spans="1:12" x14ac:dyDescent="0.45">
      <c r="A30">
        <v>158</v>
      </c>
      <c r="E30">
        <f t="shared" si="0"/>
        <v>138</v>
      </c>
      <c r="H30" t="str">
        <f t="shared" si="1"/>
        <v>]126;138]</v>
      </c>
      <c r="I30">
        <v>16</v>
      </c>
      <c r="J30" s="54">
        <f t="shared" si="2"/>
        <v>0.10666666666666667</v>
      </c>
      <c r="K30">
        <f t="shared" ref="K30:K35" si="3">K29+I30</f>
        <v>51</v>
      </c>
      <c r="L30" s="13">
        <f t="shared" ref="L30:L35" si="4">L29+J30</f>
        <v>0.34</v>
      </c>
    </row>
    <row r="31" spans="1:12" x14ac:dyDescent="0.45">
      <c r="A31">
        <v>116</v>
      </c>
      <c r="E31">
        <f t="shared" si="0"/>
        <v>150</v>
      </c>
      <c r="H31" t="str">
        <f t="shared" si="1"/>
        <v>]138;150]</v>
      </c>
      <c r="I31">
        <v>23</v>
      </c>
      <c r="J31" s="54">
        <f t="shared" si="2"/>
        <v>0.15333333333333332</v>
      </c>
      <c r="K31">
        <f t="shared" si="3"/>
        <v>74</v>
      </c>
      <c r="L31" s="13">
        <f t="shared" si="4"/>
        <v>0.49333333333333335</v>
      </c>
    </row>
    <row r="32" spans="1:12" x14ac:dyDescent="0.45">
      <c r="A32">
        <v>162</v>
      </c>
      <c r="E32">
        <f t="shared" si="0"/>
        <v>162</v>
      </c>
      <c r="H32" t="str">
        <f t="shared" si="1"/>
        <v>]150;162]</v>
      </c>
      <c r="I32">
        <v>24</v>
      </c>
      <c r="J32" s="54">
        <f t="shared" si="2"/>
        <v>0.16</v>
      </c>
      <c r="K32">
        <f t="shared" si="3"/>
        <v>98</v>
      </c>
      <c r="L32" s="13">
        <f t="shared" si="4"/>
        <v>0.65333333333333332</v>
      </c>
    </row>
    <row r="33" spans="1:12" x14ac:dyDescent="0.45">
      <c r="A33">
        <v>113</v>
      </c>
      <c r="E33">
        <f t="shared" si="0"/>
        <v>174</v>
      </c>
      <c r="H33" t="str">
        <f t="shared" si="1"/>
        <v>]162;174]</v>
      </c>
      <c r="I33">
        <v>24</v>
      </c>
      <c r="J33" s="54">
        <f t="shared" si="2"/>
        <v>0.16</v>
      </c>
      <c r="K33">
        <f t="shared" si="3"/>
        <v>122</v>
      </c>
      <c r="L33" s="13">
        <f t="shared" si="4"/>
        <v>0.81333333333333335</v>
      </c>
    </row>
    <row r="34" spans="1:12" x14ac:dyDescent="0.45">
      <c r="A34">
        <v>130</v>
      </c>
      <c r="E34">
        <f t="shared" si="0"/>
        <v>186</v>
      </c>
      <c r="H34" t="str">
        <f t="shared" si="1"/>
        <v>]174;186]</v>
      </c>
      <c r="I34">
        <v>17</v>
      </c>
      <c r="J34" s="54">
        <f t="shared" si="2"/>
        <v>0.11333333333333333</v>
      </c>
      <c r="K34">
        <f t="shared" si="3"/>
        <v>139</v>
      </c>
      <c r="L34" s="13">
        <f t="shared" si="4"/>
        <v>0.92666666666666664</v>
      </c>
    </row>
    <row r="35" spans="1:12" x14ac:dyDescent="0.45">
      <c r="A35">
        <v>195</v>
      </c>
      <c r="E35">
        <f t="shared" si="0"/>
        <v>198</v>
      </c>
      <c r="H35" t="str">
        <f t="shared" si="1"/>
        <v>]186;198]</v>
      </c>
      <c r="I35">
        <v>11</v>
      </c>
      <c r="J35" s="54">
        <f t="shared" si="2"/>
        <v>7.3333333333333334E-2</v>
      </c>
      <c r="K35">
        <f t="shared" si="3"/>
        <v>150</v>
      </c>
      <c r="L35" s="13">
        <f t="shared" si="4"/>
        <v>1</v>
      </c>
    </row>
    <row r="36" spans="1:12" x14ac:dyDescent="0.45">
      <c r="A36">
        <v>133</v>
      </c>
      <c r="H36" t="s">
        <v>21</v>
      </c>
      <c r="I36">
        <f>SUM(I28:I35)</f>
        <v>150</v>
      </c>
      <c r="J36" s="13">
        <f>SUM(J28:J35)</f>
        <v>1</v>
      </c>
    </row>
    <row r="37" spans="1:12" x14ac:dyDescent="0.45">
      <c r="A37">
        <v>127</v>
      </c>
    </row>
    <row r="38" spans="1:12" x14ac:dyDescent="0.45">
      <c r="A38">
        <v>168</v>
      </c>
      <c r="E38" t="s">
        <v>177</v>
      </c>
    </row>
    <row r="39" spans="1:12" x14ac:dyDescent="0.45">
      <c r="A39">
        <v>131</v>
      </c>
    </row>
    <row r="40" spans="1:12" x14ac:dyDescent="0.45">
      <c r="A40">
        <v>187</v>
      </c>
    </row>
    <row r="41" spans="1:12" x14ac:dyDescent="0.45">
      <c r="A41">
        <v>125</v>
      </c>
    </row>
    <row r="42" spans="1:12" x14ac:dyDescent="0.45">
      <c r="A42">
        <v>138</v>
      </c>
    </row>
    <row r="43" spans="1:12" x14ac:dyDescent="0.45">
      <c r="A43">
        <v>197</v>
      </c>
    </row>
    <row r="44" spans="1:12" x14ac:dyDescent="0.45">
      <c r="A44">
        <v>186</v>
      </c>
    </row>
    <row r="45" spans="1:12" x14ac:dyDescent="0.45">
      <c r="A45">
        <v>187</v>
      </c>
    </row>
    <row r="46" spans="1:12" x14ac:dyDescent="0.45">
      <c r="A46">
        <v>139</v>
      </c>
    </row>
    <row r="47" spans="1:12" x14ac:dyDescent="0.45">
      <c r="A47">
        <v>167</v>
      </c>
    </row>
    <row r="48" spans="1:12" x14ac:dyDescent="0.45">
      <c r="A48">
        <v>141</v>
      </c>
    </row>
    <row r="49" spans="1:9" x14ac:dyDescent="0.45">
      <c r="A49">
        <v>194</v>
      </c>
    </row>
    <row r="50" spans="1:9" x14ac:dyDescent="0.45">
      <c r="A50">
        <v>154</v>
      </c>
    </row>
    <row r="51" spans="1:9" x14ac:dyDescent="0.45">
      <c r="A51">
        <v>169</v>
      </c>
    </row>
    <row r="52" spans="1:9" x14ac:dyDescent="0.45">
      <c r="A52">
        <v>110</v>
      </c>
    </row>
    <row r="53" spans="1:9" x14ac:dyDescent="0.45">
      <c r="A53">
        <v>181</v>
      </c>
    </row>
    <row r="54" spans="1:9" x14ac:dyDescent="0.45">
      <c r="A54">
        <v>198</v>
      </c>
    </row>
    <row r="55" spans="1:9" x14ac:dyDescent="0.45">
      <c r="A55">
        <v>118</v>
      </c>
    </row>
    <row r="56" spans="1:9" ht="14.65" thickBot="1" x14ac:dyDescent="0.5">
      <c r="A56">
        <v>168</v>
      </c>
      <c r="E56" t="s">
        <v>178</v>
      </c>
      <c r="H56" t="s">
        <v>179</v>
      </c>
    </row>
    <row r="57" spans="1:9" x14ac:dyDescent="0.45">
      <c r="A57">
        <v>173</v>
      </c>
      <c r="E57" s="57" t="s">
        <v>131</v>
      </c>
      <c r="F57" s="57"/>
      <c r="H57" t="s">
        <v>180</v>
      </c>
    </row>
    <row r="58" spans="1:9" x14ac:dyDescent="0.45">
      <c r="A58">
        <v>165</v>
      </c>
      <c r="E58" s="55"/>
      <c r="F58" s="55"/>
      <c r="H58" t="s">
        <v>181</v>
      </c>
    </row>
    <row r="59" spans="1:9" x14ac:dyDescent="0.45">
      <c r="A59">
        <v>180</v>
      </c>
      <c r="E59" s="55" t="s">
        <v>74</v>
      </c>
      <c r="F59" s="55">
        <v>150.06</v>
      </c>
      <c r="H59" t="s">
        <v>182</v>
      </c>
    </row>
    <row r="60" spans="1:9" x14ac:dyDescent="0.45">
      <c r="A60">
        <v>175</v>
      </c>
      <c r="E60" s="55" t="s">
        <v>75</v>
      </c>
      <c r="F60" s="55">
        <v>2.0771092888345724</v>
      </c>
      <c r="H60" t="s">
        <v>183</v>
      </c>
    </row>
    <row r="61" spans="1:9" x14ac:dyDescent="0.45">
      <c r="A61">
        <v>184</v>
      </c>
      <c r="E61" s="55" t="s">
        <v>76</v>
      </c>
      <c r="F61" s="55">
        <v>151.5</v>
      </c>
      <c r="H61">
        <f>COUNTIF(A15:A164,"&lt;140")</f>
        <v>53</v>
      </c>
      <c r="I61">
        <f>53/150</f>
        <v>0.35333333333333333</v>
      </c>
    </row>
    <row r="62" spans="1:9" x14ac:dyDescent="0.45">
      <c r="A62">
        <v>157</v>
      </c>
      <c r="E62" s="55" t="s">
        <v>77</v>
      </c>
      <c r="F62" s="55">
        <v>167</v>
      </c>
    </row>
    <row r="63" spans="1:9" x14ac:dyDescent="0.45">
      <c r="A63">
        <v>164</v>
      </c>
      <c r="E63" s="55" t="s">
        <v>78</v>
      </c>
      <c r="F63" s="55">
        <v>25.43928948819973</v>
      </c>
    </row>
    <row r="64" spans="1:9" x14ac:dyDescent="0.45">
      <c r="A64">
        <v>151</v>
      </c>
      <c r="E64" s="55" t="s">
        <v>79</v>
      </c>
      <c r="F64" s="55">
        <v>647.15744966442924</v>
      </c>
    </row>
    <row r="65" spans="1:6" x14ac:dyDescent="0.45">
      <c r="A65">
        <v>147</v>
      </c>
      <c r="E65" s="55" t="s">
        <v>80</v>
      </c>
      <c r="F65" s="55">
        <v>-1.0331549668844429</v>
      </c>
    </row>
    <row r="66" spans="1:6" x14ac:dyDescent="0.45">
      <c r="A66">
        <v>149</v>
      </c>
      <c r="E66" s="55" t="s">
        <v>81</v>
      </c>
      <c r="F66" s="55">
        <v>-2.7468255670819064E-2</v>
      </c>
    </row>
    <row r="67" spans="1:6" x14ac:dyDescent="0.45">
      <c r="A67">
        <v>196</v>
      </c>
      <c r="E67" s="55" t="s">
        <v>82</v>
      </c>
      <c r="F67" s="55">
        <v>95</v>
      </c>
    </row>
    <row r="68" spans="1:6" x14ac:dyDescent="0.45">
      <c r="A68">
        <v>144</v>
      </c>
      <c r="E68" s="55" t="s">
        <v>37</v>
      </c>
      <c r="F68" s="55">
        <v>103</v>
      </c>
    </row>
    <row r="69" spans="1:6" x14ac:dyDescent="0.45">
      <c r="A69">
        <v>175</v>
      </c>
      <c r="E69" s="55" t="s">
        <v>38</v>
      </c>
      <c r="F69" s="55">
        <v>198</v>
      </c>
    </row>
    <row r="70" spans="1:6" x14ac:dyDescent="0.45">
      <c r="A70">
        <v>156</v>
      </c>
      <c r="E70" s="55" t="s">
        <v>83</v>
      </c>
      <c r="F70" s="55">
        <v>22509</v>
      </c>
    </row>
    <row r="71" spans="1:6" ht="14.65" thickBot="1" x14ac:dyDescent="0.5">
      <c r="A71">
        <v>132</v>
      </c>
      <c r="E71" s="56" t="s">
        <v>84</v>
      </c>
      <c r="F71" s="56">
        <v>150</v>
      </c>
    </row>
    <row r="72" spans="1:6" x14ac:dyDescent="0.45">
      <c r="A72">
        <v>164</v>
      </c>
    </row>
    <row r="73" spans="1:6" x14ac:dyDescent="0.45">
      <c r="A73">
        <v>124</v>
      </c>
    </row>
    <row r="74" spans="1:6" x14ac:dyDescent="0.45">
      <c r="A74">
        <v>142</v>
      </c>
    </row>
    <row r="75" spans="1:6" x14ac:dyDescent="0.45">
      <c r="A75">
        <v>159</v>
      </c>
    </row>
    <row r="76" spans="1:6" x14ac:dyDescent="0.45">
      <c r="A76">
        <v>140</v>
      </c>
    </row>
    <row r="77" spans="1:6" x14ac:dyDescent="0.45">
      <c r="A77">
        <v>171</v>
      </c>
    </row>
    <row r="78" spans="1:6" x14ac:dyDescent="0.45">
      <c r="A78">
        <v>166</v>
      </c>
    </row>
    <row r="79" spans="1:6" x14ac:dyDescent="0.45">
      <c r="A79">
        <v>142</v>
      </c>
    </row>
    <row r="80" spans="1:6" x14ac:dyDescent="0.45">
      <c r="A80">
        <v>113</v>
      </c>
    </row>
    <row r="81" spans="1:1" x14ac:dyDescent="0.45">
      <c r="A81">
        <v>139</v>
      </c>
    </row>
    <row r="82" spans="1:1" x14ac:dyDescent="0.45">
      <c r="A82">
        <v>153</v>
      </c>
    </row>
    <row r="83" spans="1:1" x14ac:dyDescent="0.45">
      <c r="A83">
        <v>161</v>
      </c>
    </row>
    <row r="84" spans="1:1" x14ac:dyDescent="0.45">
      <c r="A84">
        <v>161</v>
      </c>
    </row>
    <row r="85" spans="1:1" x14ac:dyDescent="0.45">
      <c r="A85">
        <v>117</v>
      </c>
    </row>
    <row r="86" spans="1:1" x14ac:dyDescent="0.45">
      <c r="A86">
        <v>159</v>
      </c>
    </row>
    <row r="87" spans="1:1" x14ac:dyDescent="0.45">
      <c r="A87">
        <v>150</v>
      </c>
    </row>
    <row r="88" spans="1:1" x14ac:dyDescent="0.45">
      <c r="A88">
        <v>173</v>
      </c>
    </row>
    <row r="89" spans="1:1" x14ac:dyDescent="0.45">
      <c r="A89">
        <v>137</v>
      </c>
    </row>
    <row r="90" spans="1:1" x14ac:dyDescent="0.45">
      <c r="A90">
        <v>111</v>
      </c>
    </row>
    <row r="91" spans="1:1" x14ac:dyDescent="0.45">
      <c r="A91">
        <v>117</v>
      </c>
    </row>
    <row r="92" spans="1:1" x14ac:dyDescent="0.45">
      <c r="A92">
        <v>146</v>
      </c>
    </row>
    <row r="93" spans="1:1" x14ac:dyDescent="0.45">
      <c r="A93">
        <v>136</v>
      </c>
    </row>
    <row r="94" spans="1:1" x14ac:dyDescent="0.45">
      <c r="A94">
        <v>167</v>
      </c>
    </row>
    <row r="95" spans="1:1" x14ac:dyDescent="0.45">
      <c r="A95">
        <v>158</v>
      </c>
    </row>
    <row r="96" spans="1:1" x14ac:dyDescent="0.45">
      <c r="A96">
        <v>156</v>
      </c>
    </row>
    <row r="97" spans="1:1" x14ac:dyDescent="0.45">
      <c r="A97">
        <v>118</v>
      </c>
    </row>
    <row r="98" spans="1:1" x14ac:dyDescent="0.45">
      <c r="A98">
        <v>107</v>
      </c>
    </row>
    <row r="99" spans="1:1" x14ac:dyDescent="0.45">
      <c r="A99">
        <v>172</v>
      </c>
    </row>
    <row r="100" spans="1:1" x14ac:dyDescent="0.45">
      <c r="A100">
        <v>158</v>
      </c>
    </row>
    <row r="101" spans="1:1" x14ac:dyDescent="0.45">
      <c r="A101">
        <v>159</v>
      </c>
    </row>
    <row r="102" spans="1:1" x14ac:dyDescent="0.45">
      <c r="A102">
        <v>113</v>
      </c>
    </row>
    <row r="103" spans="1:1" x14ac:dyDescent="0.45">
      <c r="A103">
        <v>103</v>
      </c>
    </row>
    <row r="104" spans="1:1" x14ac:dyDescent="0.45">
      <c r="A104">
        <v>162</v>
      </c>
    </row>
    <row r="105" spans="1:1" x14ac:dyDescent="0.45">
      <c r="A105">
        <v>141</v>
      </c>
    </row>
    <row r="106" spans="1:1" x14ac:dyDescent="0.45">
      <c r="A106">
        <v>120</v>
      </c>
    </row>
    <row r="107" spans="1:1" x14ac:dyDescent="0.45">
      <c r="A107">
        <v>181</v>
      </c>
    </row>
    <row r="108" spans="1:1" x14ac:dyDescent="0.45">
      <c r="A108">
        <v>181</v>
      </c>
    </row>
    <row r="109" spans="1:1" x14ac:dyDescent="0.45">
      <c r="A109">
        <v>181</v>
      </c>
    </row>
    <row r="110" spans="1:1" x14ac:dyDescent="0.45">
      <c r="A110">
        <v>116</v>
      </c>
    </row>
    <row r="111" spans="1:1" x14ac:dyDescent="0.45">
      <c r="A111">
        <v>127</v>
      </c>
    </row>
    <row r="112" spans="1:1" x14ac:dyDescent="0.45">
      <c r="A112">
        <v>135</v>
      </c>
    </row>
    <row r="113" spans="1:1" x14ac:dyDescent="0.45">
      <c r="A113">
        <v>167</v>
      </c>
    </row>
    <row r="114" spans="1:1" x14ac:dyDescent="0.45">
      <c r="A114">
        <v>104</v>
      </c>
    </row>
    <row r="115" spans="1:1" x14ac:dyDescent="0.45">
      <c r="A115">
        <v>186</v>
      </c>
    </row>
    <row r="116" spans="1:1" x14ac:dyDescent="0.45">
      <c r="A116">
        <v>144</v>
      </c>
    </row>
    <row r="117" spans="1:1" x14ac:dyDescent="0.45">
      <c r="A117">
        <v>140</v>
      </c>
    </row>
    <row r="118" spans="1:1" x14ac:dyDescent="0.45">
      <c r="A118">
        <v>167</v>
      </c>
    </row>
    <row r="119" spans="1:1" x14ac:dyDescent="0.45">
      <c r="A119">
        <v>154</v>
      </c>
    </row>
    <row r="120" spans="1:1" x14ac:dyDescent="0.45">
      <c r="A120">
        <v>109</v>
      </c>
    </row>
    <row r="121" spans="1:1" x14ac:dyDescent="0.45">
      <c r="A121">
        <v>155</v>
      </c>
    </row>
    <row r="122" spans="1:1" x14ac:dyDescent="0.45">
      <c r="A122">
        <v>141</v>
      </c>
    </row>
    <row r="123" spans="1:1" x14ac:dyDescent="0.45">
      <c r="A123">
        <v>156</v>
      </c>
    </row>
    <row r="124" spans="1:1" x14ac:dyDescent="0.45">
      <c r="A124">
        <v>182</v>
      </c>
    </row>
    <row r="125" spans="1:1" x14ac:dyDescent="0.45">
      <c r="A125">
        <v>186</v>
      </c>
    </row>
    <row r="126" spans="1:1" x14ac:dyDescent="0.45">
      <c r="A126">
        <v>125</v>
      </c>
    </row>
    <row r="127" spans="1:1" x14ac:dyDescent="0.45">
      <c r="A127">
        <v>181</v>
      </c>
    </row>
    <row r="128" spans="1:1" x14ac:dyDescent="0.45">
      <c r="A128">
        <v>138</v>
      </c>
    </row>
    <row r="129" spans="1:1" x14ac:dyDescent="0.45">
      <c r="A129">
        <v>178</v>
      </c>
    </row>
    <row r="130" spans="1:1" x14ac:dyDescent="0.45">
      <c r="A130">
        <v>195</v>
      </c>
    </row>
    <row r="131" spans="1:1" x14ac:dyDescent="0.45">
      <c r="A131">
        <v>117</v>
      </c>
    </row>
    <row r="132" spans="1:1" x14ac:dyDescent="0.45">
      <c r="A132">
        <v>128</v>
      </c>
    </row>
    <row r="133" spans="1:1" x14ac:dyDescent="0.45">
      <c r="A133">
        <v>140</v>
      </c>
    </row>
    <row r="134" spans="1:1" x14ac:dyDescent="0.45">
      <c r="A134">
        <v>143</v>
      </c>
    </row>
    <row r="135" spans="1:1" x14ac:dyDescent="0.45">
      <c r="A135">
        <v>170</v>
      </c>
    </row>
    <row r="136" spans="1:1" x14ac:dyDescent="0.45">
      <c r="A136">
        <v>109</v>
      </c>
    </row>
    <row r="137" spans="1:1" x14ac:dyDescent="0.45">
      <c r="A137">
        <v>116</v>
      </c>
    </row>
    <row r="138" spans="1:1" x14ac:dyDescent="0.45">
      <c r="A138">
        <v>140</v>
      </c>
    </row>
    <row r="139" spans="1:1" x14ac:dyDescent="0.45">
      <c r="A139">
        <v>159</v>
      </c>
    </row>
    <row r="140" spans="1:1" x14ac:dyDescent="0.45">
      <c r="A140">
        <v>160</v>
      </c>
    </row>
    <row r="141" spans="1:1" x14ac:dyDescent="0.45">
      <c r="A141">
        <v>167</v>
      </c>
    </row>
    <row r="142" spans="1:1" x14ac:dyDescent="0.45">
      <c r="A142">
        <v>117</v>
      </c>
    </row>
    <row r="143" spans="1:1" x14ac:dyDescent="0.45">
      <c r="A143">
        <v>171</v>
      </c>
    </row>
    <row r="144" spans="1:1" x14ac:dyDescent="0.45">
      <c r="A144">
        <v>167</v>
      </c>
    </row>
    <row r="145" spans="1:1" x14ac:dyDescent="0.45">
      <c r="A145">
        <v>145</v>
      </c>
    </row>
    <row r="146" spans="1:1" x14ac:dyDescent="0.45">
      <c r="A146">
        <v>123</v>
      </c>
    </row>
    <row r="147" spans="1:1" x14ac:dyDescent="0.45">
      <c r="A147">
        <v>152</v>
      </c>
    </row>
    <row r="148" spans="1:1" x14ac:dyDescent="0.45">
      <c r="A148">
        <v>124</v>
      </c>
    </row>
    <row r="149" spans="1:1" x14ac:dyDescent="0.45">
      <c r="A149">
        <v>148</v>
      </c>
    </row>
    <row r="150" spans="1:1" x14ac:dyDescent="0.45">
      <c r="A150">
        <v>113</v>
      </c>
    </row>
    <row r="151" spans="1:1" x14ac:dyDescent="0.45">
      <c r="A151">
        <v>185</v>
      </c>
    </row>
    <row r="152" spans="1:1" x14ac:dyDescent="0.45">
      <c r="A152">
        <v>125</v>
      </c>
    </row>
    <row r="153" spans="1:1" x14ac:dyDescent="0.45">
      <c r="A153">
        <v>129</v>
      </c>
    </row>
    <row r="154" spans="1:1" x14ac:dyDescent="0.45">
      <c r="A154">
        <v>190</v>
      </c>
    </row>
    <row r="155" spans="1:1" x14ac:dyDescent="0.45">
      <c r="A155">
        <v>169</v>
      </c>
    </row>
    <row r="156" spans="1:1" x14ac:dyDescent="0.45">
      <c r="A156">
        <v>110</v>
      </c>
    </row>
    <row r="157" spans="1:1" x14ac:dyDescent="0.45">
      <c r="A157">
        <v>107</v>
      </c>
    </row>
    <row r="158" spans="1:1" x14ac:dyDescent="0.45">
      <c r="A158">
        <v>123</v>
      </c>
    </row>
    <row r="159" spans="1:1" x14ac:dyDescent="0.45">
      <c r="A159">
        <v>170</v>
      </c>
    </row>
    <row r="160" spans="1:1" x14ac:dyDescent="0.45">
      <c r="A160">
        <v>124</v>
      </c>
    </row>
    <row r="161" spans="1:1" x14ac:dyDescent="0.45">
      <c r="A161">
        <v>103</v>
      </c>
    </row>
    <row r="162" spans="1:1" x14ac:dyDescent="0.45">
      <c r="A162">
        <v>132</v>
      </c>
    </row>
    <row r="163" spans="1:1" x14ac:dyDescent="0.45">
      <c r="A163">
        <v>115</v>
      </c>
    </row>
    <row r="164" spans="1:1" x14ac:dyDescent="0.45">
      <c r="A164">
        <v>148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5573-AACD-4CB9-B638-B1B363F7134E}">
  <dimension ref="A14:J134"/>
  <sheetViews>
    <sheetView tabSelected="1" topLeftCell="B44" zoomScale="105" zoomScaleNormal="115" workbookViewId="0">
      <selection activeCell="K67" sqref="K67"/>
    </sheetView>
  </sheetViews>
  <sheetFormatPr defaultRowHeight="14.25" x14ac:dyDescent="0.45"/>
  <sheetData>
    <row r="14" spans="1:4" x14ac:dyDescent="0.45">
      <c r="A14" s="1" t="s">
        <v>0</v>
      </c>
      <c r="D14" t="s">
        <v>151</v>
      </c>
    </row>
    <row r="15" spans="1:4" x14ac:dyDescent="0.45">
      <c r="A15">
        <v>196</v>
      </c>
      <c r="D15" t="s">
        <v>152</v>
      </c>
    </row>
    <row r="16" spans="1:4" x14ac:dyDescent="0.45">
      <c r="A16">
        <v>176</v>
      </c>
    </row>
    <row r="17" spans="1:10" x14ac:dyDescent="0.45">
      <c r="A17">
        <v>50</v>
      </c>
      <c r="D17" t="s">
        <v>153</v>
      </c>
    </row>
    <row r="18" spans="1:10" x14ac:dyDescent="0.45">
      <c r="A18">
        <v>84</v>
      </c>
    </row>
    <row r="19" spans="1:10" x14ac:dyDescent="0.45">
      <c r="A19">
        <v>126</v>
      </c>
      <c r="D19" t="s">
        <v>18</v>
      </c>
      <c r="F19">
        <f>COUNT(A15:A134)</f>
        <v>120</v>
      </c>
    </row>
    <row r="20" spans="1:10" x14ac:dyDescent="0.45">
      <c r="A20">
        <v>154</v>
      </c>
    </row>
    <row r="21" spans="1:10" x14ac:dyDescent="0.45">
      <c r="A21">
        <v>60</v>
      </c>
      <c r="D21" t="s">
        <v>55</v>
      </c>
      <c r="E21">
        <f>MAX(A15:A134)</f>
        <v>196</v>
      </c>
    </row>
    <row r="22" spans="1:10" x14ac:dyDescent="0.45">
      <c r="A22">
        <v>50</v>
      </c>
      <c r="D22" t="s">
        <v>110</v>
      </c>
      <c r="E22">
        <f>MIN(A15:A134)</f>
        <v>44</v>
      </c>
    </row>
    <row r="23" spans="1:10" x14ac:dyDescent="0.45">
      <c r="A23">
        <v>90</v>
      </c>
    </row>
    <row r="24" spans="1:10" x14ac:dyDescent="0.45">
      <c r="A24">
        <v>45</v>
      </c>
      <c r="D24" t="s">
        <v>154</v>
      </c>
      <c r="F24">
        <f>INT(LOG(120,2))+1</f>
        <v>7</v>
      </c>
    </row>
    <row r="25" spans="1:10" x14ac:dyDescent="0.45">
      <c r="A25">
        <v>109</v>
      </c>
    </row>
    <row r="26" spans="1:10" x14ac:dyDescent="0.45">
      <c r="A26">
        <v>110</v>
      </c>
      <c r="D26" t="s">
        <v>155</v>
      </c>
      <c r="G26">
        <f>(E21-E22)/7</f>
        <v>21.714285714285715</v>
      </c>
    </row>
    <row r="27" spans="1:10" x14ac:dyDescent="0.45">
      <c r="A27">
        <v>171</v>
      </c>
      <c r="F27" t="s">
        <v>156</v>
      </c>
      <c r="G27" t="s">
        <v>159</v>
      </c>
    </row>
    <row r="28" spans="1:10" x14ac:dyDescent="0.45">
      <c r="A28">
        <v>111</v>
      </c>
      <c r="C28" t="s">
        <v>160</v>
      </c>
      <c r="F28" t="s">
        <v>20</v>
      </c>
    </row>
    <row r="29" spans="1:10" x14ac:dyDescent="0.45">
      <c r="A29">
        <v>147</v>
      </c>
      <c r="D29">
        <v>43</v>
      </c>
      <c r="F29" t="s">
        <v>41</v>
      </c>
      <c r="G29" t="s">
        <v>11</v>
      </c>
      <c r="H29" t="s">
        <v>12</v>
      </c>
      <c r="I29" t="s">
        <v>42</v>
      </c>
      <c r="J29" t="s">
        <v>43</v>
      </c>
    </row>
    <row r="30" spans="1:10" x14ac:dyDescent="0.45">
      <c r="A30">
        <v>52</v>
      </c>
      <c r="D30">
        <f>D29+22</f>
        <v>65</v>
      </c>
      <c r="F30" t="str">
        <f>CONCATENATE("]",D29,",",D30,"]")</f>
        <v>]43,65]</v>
      </c>
      <c r="G30">
        <f t="array" ref="G30:G36">FREQUENCY(A15:A134,D30:D36)</f>
        <v>24</v>
      </c>
      <c r="H30" s="6">
        <f>G30/120</f>
        <v>0.2</v>
      </c>
      <c r="I30">
        <f>G30</f>
        <v>24</v>
      </c>
      <c r="J30" s="9">
        <f>H30</f>
        <v>0.2</v>
      </c>
    </row>
    <row r="31" spans="1:10" x14ac:dyDescent="0.45">
      <c r="A31">
        <v>46</v>
      </c>
      <c r="D31">
        <f t="shared" ref="D31:D36" si="0">D30+22</f>
        <v>87</v>
      </c>
      <c r="F31" t="str">
        <f t="shared" ref="F31:F36" si="1">CONCATENATE("]",D30,",",D31,"]")</f>
        <v>]65,87]</v>
      </c>
      <c r="G31">
        <v>13</v>
      </c>
      <c r="H31" s="6">
        <f t="shared" ref="H31:H36" si="2">G31/120</f>
        <v>0.10833333333333334</v>
      </c>
      <c r="I31">
        <f>I30+G31</f>
        <v>37</v>
      </c>
      <c r="J31" s="9">
        <f>J30+H31</f>
        <v>0.30833333333333335</v>
      </c>
    </row>
    <row r="32" spans="1:10" x14ac:dyDescent="0.45">
      <c r="A32">
        <v>136</v>
      </c>
      <c r="D32">
        <f t="shared" si="0"/>
        <v>109</v>
      </c>
      <c r="F32" t="str">
        <f t="shared" si="1"/>
        <v>]87,109]</v>
      </c>
      <c r="G32">
        <v>19</v>
      </c>
      <c r="H32" s="6">
        <f t="shared" si="2"/>
        <v>0.15833333333333333</v>
      </c>
      <c r="I32">
        <f t="shared" ref="I32:I36" si="3">I31+G32</f>
        <v>56</v>
      </c>
      <c r="J32" s="9">
        <f t="shared" ref="J32:J36" si="4">J31+H32</f>
        <v>0.46666666666666667</v>
      </c>
    </row>
    <row r="33" spans="1:10" x14ac:dyDescent="0.45">
      <c r="A33">
        <v>57</v>
      </c>
      <c r="D33">
        <f t="shared" si="0"/>
        <v>131</v>
      </c>
      <c r="F33" t="str">
        <f t="shared" si="1"/>
        <v>]109,131]</v>
      </c>
      <c r="G33">
        <v>24</v>
      </c>
      <c r="H33" s="6">
        <f t="shared" si="2"/>
        <v>0.2</v>
      </c>
      <c r="I33">
        <f t="shared" si="3"/>
        <v>80</v>
      </c>
      <c r="J33" s="9">
        <f t="shared" si="4"/>
        <v>0.66666666666666674</v>
      </c>
    </row>
    <row r="34" spans="1:10" x14ac:dyDescent="0.45">
      <c r="A34">
        <v>129</v>
      </c>
      <c r="D34">
        <f t="shared" si="0"/>
        <v>153</v>
      </c>
      <c r="F34" t="str">
        <f t="shared" si="1"/>
        <v>]131,153]</v>
      </c>
      <c r="G34">
        <v>12</v>
      </c>
      <c r="H34" s="6">
        <f t="shared" si="2"/>
        <v>0.1</v>
      </c>
      <c r="I34">
        <f t="shared" si="3"/>
        <v>92</v>
      </c>
      <c r="J34" s="9">
        <f t="shared" si="4"/>
        <v>0.76666666666666672</v>
      </c>
    </row>
    <row r="35" spans="1:10" x14ac:dyDescent="0.45">
      <c r="A35">
        <v>48</v>
      </c>
      <c r="D35">
        <f t="shared" si="0"/>
        <v>175</v>
      </c>
      <c r="F35" t="str">
        <f t="shared" si="1"/>
        <v>]153,175]</v>
      </c>
      <c r="G35">
        <v>16</v>
      </c>
      <c r="H35" s="6">
        <f t="shared" si="2"/>
        <v>0.13333333333333333</v>
      </c>
      <c r="I35">
        <f t="shared" si="3"/>
        <v>108</v>
      </c>
      <c r="J35" s="9">
        <f t="shared" si="4"/>
        <v>0.9</v>
      </c>
    </row>
    <row r="36" spans="1:10" x14ac:dyDescent="0.45">
      <c r="A36">
        <v>175</v>
      </c>
      <c r="D36">
        <f t="shared" si="0"/>
        <v>197</v>
      </c>
      <c r="F36" t="str">
        <f t="shared" si="1"/>
        <v>]175,197]</v>
      </c>
      <c r="G36">
        <v>12</v>
      </c>
      <c r="H36" s="6">
        <f t="shared" si="2"/>
        <v>0.1</v>
      </c>
      <c r="I36">
        <f t="shared" si="3"/>
        <v>120</v>
      </c>
      <c r="J36" s="9">
        <f t="shared" si="4"/>
        <v>1</v>
      </c>
    </row>
    <row r="37" spans="1:10" x14ac:dyDescent="0.45">
      <c r="A37">
        <v>97</v>
      </c>
      <c r="F37" t="s">
        <v>21</v>
      </c>
      <c r="G37">
        <f>SUM(G30:G36)</f>
        <v>120</v>
      </c>
      <c r="H37" s="9">
        <f>SUM(H30:H36)</f>
        <v>1</v>
      </c>
    </row>
    <row r="38" spans="1:10" x14ac:dyDescent="0.45">
      <c r="A38">
        <v>63</v>
      </c>
    </row>
    <row r="39" spans="1:10" x14ac:dyDescent="0.45">
      <c r="A39">
        <v>188</v>
      </c>
      <c r="C39" t="s">
        <v>161</v>
      </c>
    </row>
    <row r="40" spans="1:10" x14ac:dyDescent="0.45">
      <c r="A40">
        <v>58</v>
      </c>
    </row>
    <row r="41" spans="1:10" x14ac:dyDescent="0.45">
      <c r="A41">
        <v>115</v>
      </c>
    </row>
    <row r="42" spans="1:10" x14ac:dyDescent="0.45">
      <c r="A42">
        <v>75</v>
      </c>
    </row>
    <row r="43" spans="1:10" x14ac:dyDescent="0.45">
      <c r="A43">
        <v>173</v>
      </c>
    </row>
    <row r="44" spans="1:10" x14ac:dyDescent="0.45">
      <c r="A44">
        <v>157</v>
      </c>
    </row>
    <row r="45" spans="1:10" x14ac:dyDescent="0.45">
      <c r="A45">
        <v>117</v>
      </c>
    </row>
    <row r="46" spans="1:10" x14ac:dyDescent="0.45">
      <c r="A46">
        <v>66</v>
      </c>
    </row>
    <row r="47" spans="1:10" x14ac:dyDescent="0.45">
      <c r="A47">
        <v>54</v>
      </c>
    </row>
    <row r="48" spans="1:10" x14ac:dyDescent="0.45">
      <c r="A48">
        <v>49</v>
      </c>
    </row>
    <row r="49" spans="1:7" x14ac:dyDescent="0.45">
      <c r="A49">
        <v>184</v>
      </c>
    </row>
    <row r="50" spans="1:7" x14ac:dyDescent="0.45">
      <c r="A50">
        <v>88</v>
      </c>
    </row>
    <row r="51" spans="1:7" x14ac:dyDescent="0.45">
      <c r="A51">
        <v>156</v>
      </c>
    </row>
    <row r="52" spans="1:7" x14ac:dyDescent="0.45">
      <c r="A52">
        <v>147</v>
      </c>
    </row>
    <row r="53" spans="1:7" x14ac:dyDescent="0.45">
      <c r="A53">
        <v>177</v>
      </c>
    </row>
    <row r="54" spans="1:7" x14ac:dyDescent="0.45">
      <c r="A54">
        <v>44</v>
      </c>
    </row>
    <row r="55" spans="1:7" ht="14.65" thickBot="1" x14ac:dyDescent="0.5">
      <c r="A55">
        <v>126</v>
      </c>
      <c r="C55" t="s">
        <v>162</v>
      </c>
    </row>
    <row r="56" spans="1:7" x14ac:dyDescent="0.45">
      <c r="A56">
        <v>65</v>
      </c>
      <c r="C56" s="32" t="s">
        <v>73</v>
      </c>
      <c r="D56" s="32"/>
      <c r="F56" t="s">
        <v>163</v>
      </c>
    </row>
    <row r="57" spans="1:7" x14ac:dyDescent="0.45">
      <c r="A57">
        <v>140</v>
      </c>
    </row>
    <row r="58" spans="1:7" x14ac:dyDescent="0.45">
      <c r="A58">
        <v>91</v>
      </c>
      <c r="C58" t="s">
        <v>74</v>
      </c>
      <c r="D58">
        <v>113.1</v>
      </c>
      <c r="F58" t="s">
        <v>186</v>
      </c>
    </row>
    <row r="59" spans="1:7" x14ac:dyDescent="0.45">
      <c r="A59">
        <v>125</v>
      </c>
      <c r="C59" t="s">
        <v>75</v>
      </c>
      <c r="D59">
        <v>3.988611237992886</v>
      </c>
    </row>
    <row r="60" spans="1:7" x14ac:dyDescent="0.45">
      <c r="A60">
        <v>141</v>
      </c>
      <c r="C60" t="s">
        <v>76</v>
      </c>
      <c r="D60">
        <v>113.5</v>
      </c>
      <c r="F60" t="s">
        <v>165</v>
      </c>
    </row>
    <row r="61" spans="1:7" x14ac:dyDescent="0.45">
      <c r="A61">
        <v>144</v>
      </c>
      <c r="C61" t="s">
        <v>77</v>
      </c>
      <c r="D61">
        <v>126</v>
      </c>
    </row>
    <row r="62" spans="1:7" x14ac:dyDescent="0.45">
      <c r="A62">
        <v>46</v>
      </c>
      <c r="C62" t="s">
        <v>78</v>
      </c>
      <c r="D62">
        <v>43.693046963346205</v>
      </c>
      <c r="F62" t="s">
        <v>185</v>
      </c>
    </row>
    <row r="63" spans="1:7" x14ac:dyDescent="0.45">
      <c r="A63">
        <v>81</v>
      </c>
      <c r="C63" t="s">
        <v>79</v>
      </c>
      <c r="D63">
        <v>1909.0823529411769</v>
      </c>
      <c r="F63" t="s">
        <v>164</v>
      </c>
      <c r="G63">
        <f>3.2*60</f>
        <v>192</v>
      </c>
    </row>
    <row r="64" spans="1:7" x14ac:dyDescent="0.45">
      <c r="A64">
        <v>122</v>
      </c>
      <c r="C64" t="s">
        <v>80</v>
      </c>
      <c r="D64">
        <v>-1.139822847087067</v>
      </c>
      <c r="F64" t="s">
        <v>166</v>
      </c>
    </row>
    <row r="65" spans="1:7" x14ac:dyDescent="0.45">
      <c r="A65">
        <v>169</v>
      </c>
      <c r="C65" t="s">
        <v>81</v>
      </c>
      <c r="D65">
        <v>6.7677106360784348E-2</v>
      </c>
      <c r="G65">
        <f>COUNTIF(A15:A134,"&lt;192")</f>
        <v>119</v>
      </c>
    </row>
    <row r="66" spans="1:7" x14ac:dyDescent="0.45">
      <c r="A66">
        <v>128</v>
      </c>
      <c r="C66" t="s">
        <v>82</v>
      </c>
      <c r="D66">
        <v>152</v>
      </c>
      <c r="G66" s="6">
        <f>119/120</f>
        <v>0.9916666666666667</v>
      </c>
    </row>
    <row r="67" spans="1:7" x14ac:dyDescent="0.45">
      <c r="A67">
        <v>90</v>
      </c>
      <c r="C67" t="s">
        <v>37</v>
      </c>
      <c r="D67">
        <v>44</v>
      </c>
    </row>
    <row r="68" spans="1:7" x14ac:dyDescent="0.45">
      <c r="A68">
        <v>126</v>
      </c>
      <c r="C68" t="s">
        <v>38</v>
      </c>
      <c r="D68">
        <v>196</v>
      </c>
    </row>
    <row r="69" spans="1:7" x14ac:dyDescent="0.45">
      <c r="A69">
        <v>60</v>
      </c>
      <c r="C69" t="s">
        <v>83</v>
      </c>
      <c r="D69">
        <v>13572</v>
      </c>
    </row>
    <row r="70" spans="1:7" ht="14.65" thickBot="1" x14ac:dyDescent="0.5">
      <c r="A70">
        <v>116</v>
      </c>
      <c r="C70" s="31" t="s">
        <v>84</v>
      </c>
      <c r="D70" s="31">
        <v>120</v>
      </c>
    </row>
    <row r="71" spans="1:7" x14ac:dyDescent="0.45">
      <c r="A71">
        <v>119</v>
      </c>
    </row>
    <row r="72" spans="1:7" x14ac:dyDescent="0.45">
      <c r="A72">
        <v>113</v>
      </c>
    </row>
    <row r="73" spans="1:7" x14ac:dyDescent="0.45">
      <c r="A73">
        <v>96</v>
      </c>
    </row>
    <row r="74" spans="1:7" x14ac:dyDescent="0.45">
      <c r="A74">
        <v>124</v>
      </c>
    </row>
    <row r="75" spans="1:7" x14ac:dyDescent="0.45">
      <c r="A75">
        <v>187</v>
      </c>
    </row>
    <row r="76" spans="1:7" x14ac:dyDescent="0.45">
      <c r="A76">
        <v>123</v>
      </c>
    </row>
    <row r="77" spans="1:7" x14ac:dyDescent="0.45">
      <c r="A77">
        <v>159</v>
      </c>
    </row>
    <row r="78" spans="1:7" x14ac:dyDescent="0.45">
      <c r="A78">
        <v>46</v>
      </c>
    </row>
    <row r="79" spans="1:7" x14ac:dyDescent="0.45">
      <c r="A79">
        <v>178</v>
      </c>
    </row>
    <row r="80" spans="1:7" x14ac:dyDescent="0.45">
      <c r="A80">
        <v>91</v>
      </c>
    </row>
    <row r="81" spans="1:1" x14ac:dyDescent="0.45">
      <c r="A81">
        <v>159</v>
      </c>
    </row>
    <row r="82" spans="1:1" x14ac:dyDescent="0.45">
      <c r="A82">
        <v>96</v>
      </c>
    </row>
    <row r="83" spans="1:1" x14ac:dyDescent="0.45">
      <c r="A83">
        <v>97</v>
      </c>
    </row>
    <row r="84" spans="1:1" x14ac:dyDescent="0.45">
      <c r="A84">
        <v>61</v>
      </c>
    </row>
    <row r="85" spans="1:1" x14ac:dyDescent="0.45">
      <c r="A85">
        <v>172</v>
      </c>
    </row>
    <row r="86" spans="1:1" x14ac:dyDescent="0.45">
      <c r="A86">
        <v>71</v>
      </c>
    </row>
    <row r="87" spans="1:1" x14ac:dyDescent="0.45">
      <c r="A87">
        <v>107</v>
      </c>
    </row>
    <row r="88" spans="1:1" x14ac:dyDescent="0.45">
      <c r="A88">
        <v>61</v>
      </c>
    </row>
    <row r="89" spans="1:1" x14ac:dyDescent="0.45">
      <c r="A89">
        <v>177</v>
      </c>
    </row>
    <row r="90" spans="1:1" x14ac:dyDescent="0.45">
      <c r="A90">
        <v>76</v>
      </c>
    </row>
    <row r="91" spans="1:1" x14ac:dyDescent="0.45">
      <c r="A91">
        <v>106</v>
      </c>
    </row>
    <row r="92" spans="1:1" x14ac:dyDescent="0.45">
      <c r="A92">
        <v>148</v>
      </c>
    </row>
    <row r="93" spans="1:1" x14ac:dyDescent="0.45">
      <c r="A93">
        <v>182</v>
      </c>
    </row>
    <row r="94" spans="1:1" x14ac:dyDescent="0.45">
      <c r="A94">
        <v>94</v>
      </c>
    </row>
    <row r="95" spans="1:1" x14ac:dyDescent="0.45">
      <c r="A95">
        <v>92</v>
      </c>
    </row>
    <row r="96" spans="1:1" x14ac:dyDescent="0.45">
      <c r="A96">
        <v>141</v>
      </c>
    </row>
    <row r="97" spans="1:1" x14ac:dyDescent="0.45">
      <c r="A97">
        <v>168</v>
      </c>
    </row>
    <row r="98" spans="1:1" x14ac:dyDescent="0.45">
      <c r="A98">
        <v>67</v>
      </c>
    </row>
    <row r="99" spans="1:1" x14ac:dyDescent="0.45">
      <c r="A99">
        <v>130</v>
      </c>
    </row>
    <row r="100" spans="1:1" x14ac:dyDescent="0.45">
      <c r="A100">
        <v>133</v>
      </c>
    </row>
    <row r="101" spans="1:1" x14ac:dyDescent="0.45">
      <c r="A101">
        <v>72</v>
      </c>
    </row>
    <row r="102" spans="1:1" x14ac:dyDescent="0.45">
      <c r="A102">
        <v>107</v>
      </c>
    </row>
    <row r="103" spans="1:1" x14ac:dyDescent="0.45">
      <c r="A103">
        <v>111</v>
      </c>
    </row>
    <row r="104" spans="1:1" x14ac:dyDescent="0.45">
      <c r="A104">
        <v>69</v>
      </c>
    </row>
    <row r="105" spans="1:1" x14ac:dyDescent="0.45">
      <c r="A105">
        <v>45</v>
      </c>
    </row>
    <row r="106" spans="1:1" x14ac:dyDescent="0.45">
      <c r="A106">
        <v>129</v>
      </c>
    </row>
    <row r="107" spans="1:1" x14ac:dyDescent="0.45">
      <c r="A107">
        <v>58</v>
      </c>
    </row>
    <row r="108" spans="1:1" x14ac:dyDescent="0.45">
      <c r="A108">
        <v>126</v>
      </c>
    </row>
    <row r="109" spans="1:1" x14ac:dyDescent="0.45">
      <c r="A109">
        <v>128</v>
      </c>
    </row>
    <row r="110" spans="1:1" x14ac:dyDescent="0.45">
      <c r="A110">
        <v>114</v>
      </c>
    </row>
    <row r="111" spans="1:1" x14ac:dyDescent="0.45">
      <c r="A111">
        <v>175</v>
      </c>
    </row>
    <row r="112" spans="1:1" x14ac:dyDescent="0.45">
      <c r="A112">
        <v>114</v>
      </c>
    </row>
    <row r="113" spans="1:1" x14ac:dyDescent="0.45">
      <c r="A113">
        <v>99</v>
      </c>
    </row>
    <row r="114" spans="1:1" x14ac:dyDescent="0.45">
      <c r="A114">
        <v>157</v>
      </c>
    </row>
    <row r="115" spans="1:1" x14ac:dyDescent="0.45">
      <c r="A115">
        <v>138</v>
      </c>
    </row>
    <row r="116" spans="1:1" x14ac:dyDescent="0.45">
      <c r="A116">
        <v>153</v>
      </c>
    </row>
    <row r="117" spans="1:1" x14ac:dyDescent="0.45">
      <c r="A117">
        <v>46</v>
      </c>
    </row>
    <row r="118" spans="1:1" x14ac:dyDescent="0.45">
      <c r="A118">
        <v>162</v>
      </c>
    </row>
    <row r="119" spans="1:1" x14ac:dyDescent="0.45">
      <c r="A119">
        <v>92</v>
      </c>
    </row>
    <row r="120" spans="1:1" x14ac:dyDescent="0.45">
      <c r="A120">
        <v>104</v>
      </c>
    </row>
    <row r="121" spans="1:1" x14ac:dyDescent="0.45">
      <c r="A121">
        <v>84</v>
      </c>
    </row>
    <row r="122" spans="1:1" x14ac:dyDescent="0.45">
      <c r="A122">
        <v>51</v>
      </c>
    </row>
    <row r="123" spans="1:1" x14ac:dyDescent="0.45">
      <c r="A123">
        <v>168</v>
      </c>
    </row>
    <row r="124" spans="1:1" x14ac:dyDescent="0.45">
      <c r="A124">
        <v>81</v>
      </c>
    </row>
    <row r="125" spans="1:1" x14ac:dyDescent="0.45">
      <c r="A125">
        <v>179</v>
      </c>
    </row>
    <row r="126" spans="1:1" x14ac:dyDescent="0.45">
      <c r="A126">
        <v>86</v>
      </c>
    </row>
    <row r="127" spans="1:1" x14ac:dyDescent="0.45">
      <c r="A127">
        <v>125</v>
      </c>
    </row>
    <row r="128" spans="1:1" x14ac:dyDescent="0.45">
      <c r="A128">
        <v>57</v>
      </c>
    </row>
    <row r="129" spans="1:1" x14ac:dyDescent="0.45">
      <c r="A129">
        <v>186</v>
      </c>
    </row>
    <row r="130" spans="1:1" x14ac:dyDescent="0.45">
      <c r="A130">
        <v>143</v>
      </c>
    </row>
    <row r="131" spans="1:1" x14ac:dyDescent="0.45">
      <c r="A131">
        <v>171</v>
      </c>
    </row>
    <row r="132" spans="1:1" x14ac:dyDescent="0.45">
      <c r="A132">
        <v>107</v>
      </c>
    </row>
    <row r="133" spans="1:1" x14ac:dyDescent="0.45">
      <c r="A133">
        <v>179</v>
      </c>
    </row>
    <row r="134" spans="1:1" x14ac:dyDescent="0.45">
      <c r="A134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Folha1</vt:lpstr>
      <vt:lpstr>Folha2</vt:lpstr>
      <vt:lpstr>Folha3</vt:lpstr>
      <vt:lpstr>Folha4</vt:lpstr>
      <vt:lpstr>Folha5</vt:lpstr>
      <vt:lpstr>Folha6</vt:lpstr>
      <vt:lpstr>Folha7</vt:lpstr>
      <vt:lpstr>Folha8</vt:lpstr>
      <vt:lpstr>Folha9</vt:lpstr>
      <vt:lpstr>Folha10</vt:lpstr>
      <vt:lpstr>Folha11</vt:lpstr>
      <vt:lpstr>Folha12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Inês Santos</cp:lastModifiedBy>
  <dcterms:created xsi:type="dcterms:W3CDTF">2025-11-10T22:31:03Z</dcterms:created>
  <dcterms:modified xsi:type="dcterms:W3CDTF">2026-01-08T22:50:10Z</dcterms:modified>
</cp:coreProperties>
</file>