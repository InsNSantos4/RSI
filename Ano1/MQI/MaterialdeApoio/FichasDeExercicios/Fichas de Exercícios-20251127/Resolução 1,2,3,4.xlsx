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dia\Documents\ESTGA2425\Excel\"/>
    </mc:Choice>
  </mc:AlternateContent>
  <xr:revisionPtr revIDLastSave="0" documentId="13_ncr:1_{19C6A4A0-F948-4DDF-A5C8-A91BF5E02288}" xr6:coauthVersionLast="47" xr6:coauthVersionMax="47" xr10:uidLastSave="{00000000-0000-0000-0000-000000000000}"/>
  <bookViews>
    <workbookView xWindow="-120" yWindow="-120" windowWidth="29040" windowHeight="15720" firstSheet="2" activeTab="8" xr2:uid="{9A4F1E39-EEB1-4C36-9452-FA95192A7DF8}"/>
  </bookViews>
  <sheets>
    <sheet name="N.º de cafés" sheetId="1" r:id="rId1"/>
    <sheet name="Dureza material" sheetId="2" r:id="rId2"/>
    <sheet name="N.º irmãos" sheetId="3" r:id="rId3"/>
    <sheet name="Parafusos" sheetId="4" r:id="rId4"/>
    <sheet name="Pendisk" sheetId="5" r:id="rId5"/>
    <sheet name="Parafusos 2" sheetId="6" r:id="rId6"/>
    <sheet name="Fruta" sheetId="7" r:id="rId7"/>
    <sheet name="alturas jogadores" sheetId="8" r:id="rId8"/>
    <sheet name="multibanco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9" l="1"/>
  <c r="C41" i="9"/>
  <c r="H37" i="9"/>
  <c r="G37" i="9"/>
  <c r="L17" i="9"/>
  <c r="L18" i="9"/>
  <c r="L19" i="9"/>
  <c r="L20" i="9"/>
  <c r="L21" i="9" s="1"/>
  <c r="L16" i="9"/>
  <c r="L15" i="9"/>
  <c r="K17" i="9"/>
  <c r="K18" i="9"/>
  <c r="K19" i="9" s="1"/>
  <c r="K20" i="9" s="1"/>
  <c r="K21" i="9" s="1"/>
  <c r="K16" i="9"/>
  <c r="K15" i="9"/>
  <c r="J16" i="9"/>
  <c r="J17" i="9"/>
  <c r="J18" i="9"/>
  <c r="J19" i="9"/>
  <c r="J20" i="9"/>
  <c r="J21" i="9"/>
  <c r="J15" i="9"/>
  <c r="I22" i="9"/>
  <c r="I15" i="9" a="1"/>
  <c r="I16" i="9" s="1"/>
  <c r="H16" i="9"/>
  <c r="H17" i="9"/>
  <c r="H18" i="9"/>
  <c r="H19" i="9"/>
  <c r="H20" i="9"/>
  <c r="H21" i="9"/>
  <c r="H15" i="9"/>
  <c r="D16" i="9"/>
  <c r="D17" i="9"/>
  <c r="D18" i="9"/>
  <c r="D19" i="9" s="1"/>
  <c r="D20" i="9" s="1"/>
  <c r="D21" i="9" s="1"/>
  <c r="D15" i="9"/>
  <c r="E11" i="9"/>
  <c r="E10" i="9"/>
  <c r="E9" i="9"/>
  <c r="E6" i="9"/>
  <c r="H3" i="9"/>
  <c r="L16" i="8"/>
  <c r="L17" i="8"/>
  <c r="L18" i="8"/>
  <c r="L19" i="8" s="1"/>
  <c r="L20" i="8" s="1"/>
  <c r="L15" i="8"/>
  <c r="L14" i="8"/>
  <c r="K16" i="8"/>
  <c r="K17" i="8" s="1"/>
  <c r="K18" i="8" s="1"/>
  <c r="K19" i="8" s="1"/>
  <c r="K20" i="8" s="1"/>
  <c r="K15" i="8"/>
  <c r="K14" i="8"/>
  <c r="J15" i="8"/>
  <c r="J16" i="8"/>
  <c r="J17" i="8"/>
  <c r="J18" i="8"/>
  <c r="J19" i="8"/>
  <c r="J20" i="8"/>
  <c r="J14" i="8"/>
  <c r="I21" i="8"/>
  <c r="I14" i="8" a="1"/>
  <c r="I14" i="8" s="1"/>
  <c r="I15" i="8"/>
  <c r="H15" i="8"/>
  <c r="H16" i="8"/>
  <c r="H17" i="8"/>
  <c r="H18" i="8"/>
  <c r="H19" i="8"/>
  <c r="H20" i="8"/>
  <c r="H14" i="8"/>
  <c r="D16" i="8"/>
  <c r="D17" i="8" s="1"/>
  <c r="D18" i="8" s="1"/>
  <c r="D19" i="8" s="1"/>
  <c r="D20" i="8" s="1"/>
  <c r="D21" i="8" s="1"/>
  <c r="D15" i="8"/>
  <c r="E10" i="8"/>
  <c r="E9" i="8"/>
  <c r="E8" i="8"/>
  <c r="E5" i="8"/>
  <c r="H2" i="8"/>
  <c r="G10" i="7"/>
  <c r="G11" i="7"/>
  <c r="G12" i="7"/>
  <c r="G13" i="7" s="1"/>
  <c r="G14" i="7" s="1"/>
  <c r="G9" i="7"/>
  <c r="G8" i="7"/>
  <c r="F10" i="7"/>
  <c r="F11" i="7"/>
  <c r="F12" i="7"/>
  <c r="F13" i="7" s="1"/>
  <c r="F14" i="7" s="1"/>
  <c r="F9" i="7"/>
  <c r="F8" i="7"/>
  <c r="E8" i="7"/>
  <c r="D15" i="7"/>
  <c r="E15" i="7" s="1"/>
  <c r="E9" i="7"/>
  <c r="E10" i="7"/>
  <c r="E11" i="7"/>
  <c r="E12" i="7"/>
  <c r="E13" i="7"/>
  <c r="E14" i="7"/>
  <c r="D9" i="7"/>
  <c r="D10" i="7"/>
  <c r="D11" i="7"/>
  <c r="D12" i="7"/>
  <c r="D13" i="7"/>
  <c r="D14" i="7"/>
  <c r="D8" i="7"/>
  <c r="D3" i="7"/>
  <c r="D28" i="6"/>
  <c r="D27" i="6"/>
  <c r="I19" i="6"/>
  <c r="I20" i="6"/>
  <c r="I21" i="6"/>
  <c r="I22" i="6" s="1"/>
  <c r="I23" i="6" s="1"/>
  <c r="I24" i="6" s="1"/>
  <c r="I18" i="6"/>
  <c r="I17" i="6"/>
  <c r="H19" i="6"/>
  <c r="H20" i="6"/>
  <c r="H21" i="6" s="1"/>
  <c r="H22" i="6" s="1"/>
  <c r="H23" i="6" s="1"/>
  <c r="H24" i="6" s="1"/>
  <c r="H18" i="6"/>
  <c r="H17" i="6"/>
  <c r="G18" i="6"/>
  <c r="G19" i="6"/>
  <c r="G20" i="6"/>
  <c r="G21" i="6"/>
  <c r="G22" i="6"/>
  <c r="G23" i="6"/>
  <c r="G24" i="6"/>
  <c r="G17" i="6"/>
  <c r="F25" i="6"/>
  <c r="F17" i="6" a="1"/>
  <c r="F21" i="6" s="1"/>
  <c r="E18" i="6"/>
  <c r="E19" i="6"/>
  <c r="E20" i="6"/>
  <c r="E21" i="6"/>
  <c r="E22" i="6"/>
  <c r="E23" i="6"/>
  <c r="E24" i="6"/>
  <c r="E17" i="6"/>
  <c r="C17" i="6"/>
  <c r="C18" i="6"/>
  <c r="C19" i="6" s="1"/>
  <c r="C20" i="6" s="1"/>
  <c r="C21" i="6" s="1"/>
  <c r="C22" i="6" s="1"/>
  <c r="C23" i="6" s="1"/>
  <c r="C16" i="6"/>
  <c r="E10" i="6"/>
  <c r="C10" i="6"/>
  <c r="C9" i="6"/>
  <c r="D6" i="6"/>
  <c r="K22" i="5"/>
  <c r="I15" i="9" l="1"/>
  <c r="I21" i="9"/>
  <c r="I20" i="9"/>
  <c r="I19" i="9"/>
  <c r="I18" i="9"/>
  <c r="I17" i="9"/>
  <c r="I20" i="8"/>
  <c r="I19" i="8"/>
  <c r="I18" i="8"/>
  <c r="I17" i="8"/>
  <c r="I16" i="8"/>
  <c r="F22" i="6"/>
  <c r="F20" i="6"/>
  <c r="F19" i="6"/>
  <c r="F18" i="6"/>
  <c r="F17" i="6"/>
  <c r="F24" i="6"/>
  <c r="F23" i="6"/>
  <c r="G23" i="5" l="1"/>
  <c r="G24" i="5" s="1"/>
  <c r="G25" i="5" s="1"/>
  <c r="G26" i="5" s="1"/>
  <c r="G22" i="5"/>
  <c r="G21" i="5"/>
  <c r="F24" i="5"/>
  <c r="F25" i="5" s="1"/>
  <c r="F26" i="5" s="1"/>
  <c r="F23" i="5"/>
  <c r="F22" i="5"/>
  <c r="F21" i="5"/>
  <c r="E22" i="5"/>
  <c r="E23" i="5"/>
  <c r="E24" i="5"/>
  <c r="E25" i="5"/>
  <c r="E26" i="5"/>
  <c r="E21" i="5"/>
  <c r="D27" i="5"/>
  <c r="D22" i="5"/>
  <c r="D23" i="5"/>
  <c r="D24" i="5"/>
  <c r="D25" i="5"/>
  <c r="D26" i="5"/>
  <c r="D21" i="5"/>
  <c r="E16" i="5"/>
  <c r="E39" i="4"/>
  <c r="E40" i="4"/>
  <c r="E38" i="4"/>
  <c r="J14" i="4"/>
  <c r="J15" i="4" s="1"/>
  <c r="J16" i="4" s="1"/>
  <c r="J17" i="4" s="1"/>
  <c r="J13" i="4"/>
  <c r="J12" i="4"/>
  <c r="I14" i="4"/>
  <c r="I15" i="4"/>
  <c r="I16" i="4"/>
  <c r="I17" i="4"/>
  <c r="I13" i="4"/>
  <c r="I12" i="4"/>
  <c r="H18" i="4"/>
  <c r="H13" i="4"/>
  <c r="H14" i="4"/>
  <c r="H15" i="4"/>
  <c r="H16" i="4"/>
  <c r="H17" i="4"/>
  <c r="H12" i="4"/>
  <c r="L29" i="2"/>
  <c r="L28" i="2"/>
  <c r="L25" i="2"/>
  <c r="G12" i="4" a="1"/>
  <c r="G12" i="4" s="1"/>
  <c r="F13" i="4"/>
  <c r="F14" i="4"/>
  <c r="F15" i="4"/>
  <c r="F16" i="4"/>
  <c r="F17" i="4"/>
  <c r="F12" i="4"/>
  <c r="C13" i="4"/>
  <c r="C14" i="4"/>
  <c r="C15" i="4"/>
  <c r="C16" i="4"/>
  <c r="C17" i="4" s="1"/>
  <c r="C12" i="4"/>
  <c r="C8" i="4"/>
  <c r="D5" i="4"/>
  <c r="D4" i="4"/>
  <c r="D2" i="4"/>
  <c r="G2" i="4"/>
  <c r="J14" i="2"/>
  <c r="J15" i="2"/>
  <c r="J16" i="2"/>
  <c r="J17" i="2" s="1"/>
  <c r="J18" i="2" s="1"/>
  <c r="J13" i="2"/>
  <c r="J12" i="2"/>
  <c r="I14" i="2"/>
  <c r="I15" i="2"/>
  <c r="I16" i="2" s="1"/>
  <c r="I17" i="2" s="1"/>
  <c r="I18" i="2" s="1"/>
  <c r="I13" i="2"/>
  <c r="I12" i="2"/>
  <c r="H13" i="2"/>
  <c r="H14" i="2"/>
  <c r="H15" i="2"/>
  <c r="H16" i="2"/>
  <c r="H17" i="2"/>
  <c r="H18" i="2"/>
  <c r="H12" i="2"/>
  <c r="G12" i="2" a="1"/>
  <c r="G12" i="2" s="1"/>
  <c r="F13" i="2"/>
  <c r="F14" i="2"/>
  <c r="F15" i="2"/>
  <c r="F16" i="2"/>
  <c r="F17" i="2"/>
  <c r="F18" i="2"/>
  <c r="F12" i="2"/>
  <c r="C13" i="2"/>
  <c r="C14" i="2"/>
  <c r="C15" i="2"/>
  <c r="C16" i="2"/>
  <c r="C17" i="2"/>
  <c r="C18" i="2"/>
  <c r="C12" i="2"/>
  <c r="G17" i="4" l="1"/>
  <c r="G16" i="4"/>
  <c r="G15" i="4"/>
  <c r="G14" i="4"/>
  <c r="G13" i="4"/>
  <c r="G18" i="2"/>
  <c r="G17" i="2"/>
  <c r="G16" i="2"/>
  <c r="G15" i="2"/>
  <c r="G14" i="2"/>
  <c r="G13" i="2"/>
  <c r="C8" i="2"/>
  <c r="G2" i="2"/>
  <c r="G1" i="2"/>
  <c r="D5" i="2"/>
  <c r="F25" i="3"/>
  <c r="G8" i="3"/>
  <c r="G9" i="3"/>
  <c r="G7" i="3"/>
  <c r="G6" i="3"/>
  <c r="F8" i="3"/>
  <c r="F9" i="3"/>
  <c r="F7" i="3"/>
  <c r="F6" i="3"/>
  <c r="E7" i="3"/>
  <c r="E8" i="3"/>
  <c r="E9" i="3"/>
  <c r="E6" i="3"/>
  <c r="D10" i="3"/>
  <c r="D7" i="3"/>
  <c r="D8" i="3"/>
  <c r="D9" i="3"/>
  <c r="D6" i="3"/>
  <c r="E2" i="3"/>
  <c r="K33" i="1" l="1"/>
  <c r="L30" i="1"/>
  <c r="L27" i="1"/>
  <c r="L26" i="1"/>
  <c r="L23" i="1"/>
  <c r="L22" i="1"/>
  <c r="H8" i="1"/>
  <c r="H9" i="1"/>
  <c r="H10" i="1"/>
  <c r="H11" i="1"/>
  <c r="H12" i="1"/>
  <c r="H7" i="1"/>
  <c r="H6" i="1"/>
  <c r="G8" i="1"/>
  <c r="G9" i="1"/>
  <c r="G10" i="1"/>
  <c r="G11" i="1"/>
  <c r="G12" i="1"/>
  <c r="G7" i="1"/>
  <c r="G6" i="1"/>
  <c r="F6" i="1"/>
  <c r="F7" i="1"/>
  <c r="F8" i="1"/>
  <c r="F9" i="1"/>
  <c r="F10" i="1"/>
  <c r="F11" i="1"/>
  <c r="F12" i="1"/>
  <c r="E13" i="1"/>
  <c r="E6" i="1"/>
  <c r="E7" i="1"/>
  <c r="E8" i="1"/>
  <c r="E9" i="1"/>
  <c r="E10" i="1"/>
  <c r="E11" i="1"/>
  <c r="E12" i="1"/>
  <c r="E2" i="1"/>
</calcChain>
</file>

<file path=xl/sharedStrings.xml><?xml version="1.0" encoding="utf-8"?>
<sst xmlns="http://schemas.openxmlformats.org/spreadsheetml/2006/main" count="295" uniqueCount="87">
  <si>
    <t>X: "número de cafés bebidos num dia pelos alunos da ESTGA"</t>
  </si>
  <si>
    <t>variável quantitativa discreta</t>
  </si>
  <si>
    <t>dimensão da amostra</t>
  </si>
  <si>
    <t>a)</t>
  </si>
  <si>
    <t>TABELA DE FREQUÊNCIAS</t>
  </si>
  <si>
    <t>xi</t>
  </si>
  <si>
    <t>ni</t>
  </si>
  <si>
    <t>fi</t>
  </si>
  <si>
    <t>Ni</t>
  </si>
  <si>
    <t>Fi</t>
  </si>
  <si>
    <t>b)</t>
  </si>
  <si>
    <t>GRÁFICO CIRCULAR</t>
  </si>
  <si>
    <t>c)</t>
  </si>
  <si>
    <t>GRÁFICO DE BARRAS</t>
  </si>
  <si>
    <t>d)</t>
  </si>
  <si>
    <t>Média</t>
  </si>
  <si>
    <t>Moda</t>
  </si>
  <si>
    <t>i)</t>
  </si>
  <si>
    <t>ii)</t>
  </si>
  <si>
    <t>Variância</t>
  </si>
  <si>
    <t>Desvio Padrão</t>
  </si>
  <si>
    <t>iii)</t>
  </si>
  <si>
    <t>Mediana</t>
  </si>
  <si>
    <t>50% dos alunos que bebe menos cafés por dia, bebem no máximo 2 cafés</t>
  </si>
  <si>
    <t>iv)</t>
  </si>
  <si>
    <t>Coluna1</t>
  </si>
  <si>
    <t>Erro-padrão</t>
  </si>
  <si>
    <t>Desvio-padrão</t>
  </si>
  <si>
    <t>Variância da amostra</t>
  </si>
  <si>
    <t>Curtose</t>
  </si>
  <si>
    <t>Assimetria</t>
  </si>
  <si>
    <t>Intervalo</t>
  </si>
  <si>
    <t>Mínimo</t>
  </si>
  <si>
    <t>Máximo</t>
  </si>
  <si>
    <t>Soma</t>
  </si>
  <si>
    <t>Contagem</t>
  </si>
  <si>
    <t>X: n.º de irmãos dos alunos de um dos cursos da ESTGA</t>
  </si>
  <si>
    <t>dimensão da amostra:</t>
  </si>
  <si>
    <t>fi(%)</t>
  </si>
  <si>
    <t>Fi(%)</t>
  </si>
  <si>
    <t>média</t>
  </si>
  <si>
    <t>moda</t>
  </si>
  <si>
    <t>variância</t>
  </si>
  <si>
    <t>desvio padrão</t>
  </si>
  <si>
    <t>mediana</t>
  </si>
  <si>
    <t>50% do grupo de alunos com menos irmãos tem no máximo 1 irmão</t>
  </si>
  <si>
    <t>n=120</t>
  </si>
  <si>
    <t>Cálculo do número de classes usando a regra de Sturges</t>
  </si>
  <si>
    <t>k=</t>
  </si>
  <si>
    <t>Amplitude de cada intervalo: (máx-mín)/k</t>
  </si>
  <si>
    <t>Classes</t>
  </si>
  <si>
    <t>Calcular o número de classes usando a regra de Sturges</t>
  </si>
  <si>
    <t>Calcular a amplitude da classe: (máx-mín)/k</t>
  </si>
  <si>
    <t>HISTOGRAMA</t>
  </si>
  <si>
    <t>amplitude</t>
  </si>
  <si>
    <t>b) HISTOGRAMA</t>
  </si>
  <si>
    <t>limites das classes</t>
  </si>
  <si>
    <t>X: "n.º de pendisks que os alunos da ESTGA trazem consigo"</t>
  </si>
  <si>
    <t>n=</t>
  </si>
  <si>
    <t>fi=ni/n</t>
  </si>
  <si>
    <t>i) A média da amostra é 1,25 e a mediana 1.</t>
  </si>
  <si>
    <t>iii) A moda da amostra é 0.</t>
  </si>
  <si>
    <t xml:space="preserve">ii) A variância da amostra é 1,90 e o desvio padrão 1,38. </t>
  </si>
  <si>
    <t>iv) A percentagem de alunos que tem pelo menos duas pendisks é 37,3%.</t>
  </si>
  <si>
    <t>v) A percentagem de alunos que tem no máximo uma pendisk é 62,7%.</t>
  </si>
  <si>
    <t>X: "comprimento, em cm, dos parafusos produzidos por uma determinada máquina"</t>
  </si>
  <si>
    <t>k</t>
  </si>
  <si>
    <t>Calcular a amplitude de cada classe</t>
  </si>
  <si>
    <t>a=(Máx-Mín)/k</t>
  </si>
  <si>
    <t>a=</t>
  </si>
  <si>
    <t>Calcular os limites das classes</t>
  </si>
  <si>
    <t>X: "Número de peças de fruta consumidas diariamente "</t>
  </si>
  <si>
    <t>X: "alturas dos jogadores do Mundial 2022"</t>
  </si>
  <si>
    <t>Cálculo da amplitude das classes</t>
  </si>
  <si>
    <t>Cálculo dos limites das classes</t>
  </si>
  <si>
    <t>A altura dos jogadores varia entre 1,66 e 1,99.</t>
  </si>
  <si>
    <t>A altura média é 1,82, sendo a mais frequente 1,8.</t>
  </si>
  <si>
    <t>A amplitude é 0,33 e o desvio padrão 0,065.</t>
  </si>
  <si>
    <t>A altura mínima de um jogador que pertence ao grupo dos 50% mais altos é 1,82</t>
  </si>
  <si>
    <t>X:"tempos, em minutos, entre duas chegadas consecutivas de pessoas a uma caixa de multibanco"</t>
  </si>
  <si>
    <t>Cálculo do número de classes usando a regra de Surges</t>
  </si>
  <si>
    <t>Cálculo da amplitude de cada classe</t>
  </si>
  <si>
    <t>Limites das classes</t>
  </si>
  <si>
    <t>O tempo de chegada entre duas pessoas consecutivas a uma caixa multibanco varia entre 0,16 e 7,99</t>
  </si>
  <si>
    <t>O tempo médio de chegada é 3,13, sendo o mais frequente 2,71.</t>
  </si>
  <si>
    <t>A amplitude dos valores da amostra é 7,83 e o desvio padrão é 2,015.</t>
  </si>
  <si>
    <t>30% dos tempos são inferiores a dois minutos.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</si>
</sst>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2" fontId="0" fillId="0" borderId="0" xfId="0" applyNumberFormat="1"/>
    <xf numFmtId="9" fontId="0" fillId="0" borderId="0" xfId="1" applyFont="1"/>
    <xf numFmtId="164" fontId="0" fillId="0" borderId="0" xfId="1" applyNumberFormat="1" applyFont="1"/>
    <xf numFmtId="164" fontId="0" fillId="0" borderId="0" xfId="0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5" xfId="0" applyBorder="1"/>
    <xf numFmtId="164" fontId="0" fillId="0" borderId="6" xfId="0" applyNumberFormat="1" applyBorder="1"/>
    <xf numFmtId="0" fontId="0" fillId="0" borderId="7" xfId="0" applyBorder="1"/>
    <xf numFmtId="0" fontId="0" fillId="0" borderId="8" xfId="0" applyBorder="1"/>
    <xf numFmtId="164" fontId="0" fillId="0" borderId="8" xfId="1" applyNumberFormat="1" applyFont="1" applyBorder="1"/>
    <xf numFmtId="164" fontId="0" fillId="0" borderId="9" xfId="0" applyNumberFormat="1" applyBorder="1"/>
    <xf numFmtId="165" fontId="0" fillId="0" borderId="0" xfId="0" applyNumberFormat="1"/>
    <xf numFmtId="0" fontId="0" fillId="0" borderId="10" xfId="0" applyBorder="1"/>
    <xf numFmtId="0" fontId="3" fillId="0" borderId="11" xfId="0" applyFont="1" applyBorder="1" applyAlignment="1">
      <alignment horizontal="centerContinuous"/>
    </xf>
    <xf numFmtId="9" fontId="0" fillId="0" borderId="0" xfId="0" applyNumberFormat="1"/>
    <xf numFmtId="9" fontId="0" fillId="0" borderId="1" xfId="1" applyFont="1" applyBorder="1"/>
    <xf numFmtId="9" fontId="0" fillId="0" borderId="1" xfId="0" applyNumberFormat="1" applyBorder="1"/>
    <xf numFmtId="0" fontId="0" fillId="2" borderId="0" xfId="0" applyFill="1"/>
    <xf numFmtId="0" fontId="2" fillId="0" borderId="1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1" applyNumberFormat="1" applyFon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10" xfId="1" applyNumberFormat="1" applyFon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0" fillId="3" borderId="0" xfId="0" applyFill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</cellXfs>
  <cellStyles count="2">
    <cellStyle name="Normal" xfId="0" builtinId="0"/>
    <cellStyle name="Pe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Número</a:t>
            </a:r>
            <a:r>
              <a:rPr lang="pt-PT" baseline="0"/>
              <a:t> de cafés bebidos num dia pelos alunos da ESTGA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988-49E0-8C22-FF12A53B4A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988-49E0-8C22-FF12A53B4AB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988-49E0-8C22-FF12A53B4AB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988-49E0-8C22-FF12A53B4AB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988-49E0-8C22-FF12A53B4AB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988-49E0-8C22-FF12A53B4AB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988-49E0-8C22-FF12A53B4AB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'N.º de cafés'!$D$6:$D$12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'N.º de cafés'!$F$6:$F$12</c:f>
              <c:numCache>
                <c:formatCode>0.0%</c:formatCode>
                <c:ptCount val="7"/>
                <c:pt idx="0">
                  <c:v>0.15</c:v>
                </c:pt>
                <c:pt idx="1">
                  <c:v>0.3</c:v>
                </c:pt>
                <c:pt idx="2">
                  <c:v>0.25</c:v>
                </c:pt>
                <c:pt idx="3">
                  <c:v>0.2</c:v>
                </c:pt>
                <c:pt idx="4">
                  <c:v>0.05</c:v>
                </c:pt>
                <c:pt idx="5">
                  <c:v>2.5000000000000001E-2</c:v>
                </c:pt>
                <c:pt idx="6">
                  <c:v>2.5000000000000001E-2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C2-40BF-80A6-9F84C4AC9A7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Número de cafés bebidos num dia pelos alunos da ESTGA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'N.º de cafés'!$D$6:$D$12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'N.º de cafés'!$G$6:$G$12</c:f>
              <c:numCache>
                <c:formatCode>General</c:formatCode>
                <c:ptCount val="7"/>
                <c:pt idx="0">
                  <c:v>12</c:v>
                </c:pt>
                <c:pt idx="1">
                  <c:v>36</c:v>
                </c:pt>
                <c:pt idx="2">
                  <c:v>56</c:v>
                </c:pt>
                <c:pt idx="3">
                  <c:v>72</c:v>
                </c:pt>
                <c:pt idx="4">
                  <c:v>76</c:v>
                </c:pt>
                <c:pt idx="5">
                  <c:v>78</c:v>
                </c:pt>
                <c:pt idx="6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D-4301-9843-EB2993042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3019439"/>
        <c:axId val="983026639"/>
      </c:barChart>
      <c:catAx>
        <c:axId val="983019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xi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83026639"/>
        <c:crosses val="autoZero"/>
        <c:auto val="1"/>
        <c:lblAlgn val="ctr"/>
        <c:lblOffset val="100"/>
        <c:noMultiLvlLbl val="0"/>
      </c:catAx>
      <c:valAx>
        <c:axId val="98302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Ni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83019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Dureza</a:t>
            </a:r>
            <a:r>
              <a:rPr lang="pt-PT" baseline="0"/>
              <a:t> de um material plástico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'Dureza material'!$F$12:$F$18</c:f>
              <c:strCache>
                <c:ptCount val="7"/>
                <c:pt idx="0">
                  <c:v>]4,01;4,28]</c:v>
                </c:pt>
                <c:pt idx="1">
                  <c:v>]4,28;4,55]</c:v>
                </c:pt>
                <c:pt idx="2">
                  <c:v>]4,55;4,82]</c:v>
                </c:pt>
                <c:pt idx="3">
                  <c:v>]4,82;5,09]</c:v>
                </c:pt>
                <c:pt idx="4">
                  <c:v>]5,09;5,36]</c:v>
                </c:pt>
                <c:pt idx="5">
                  <c:v>]5,36;5,63]</c:v>
                </c:pt>
                <c:pt idx="6">
                  <c:v>]5,63;5,9]</c:v>
                </c:pt>
              </c:strCache>
            </c:strRef>
          </c:cat>
          <c:val>
            <c:numRef>
              <c:f>'Dureza material'!$G$12:$G$18</c:f>
              <c:numCache>
                <c:formatCode>General</c:formatCode>
                <c:ptCount val="7"/>
                <c:pt idx="0">
                  <c:v>22</c:v>
                </c:pt>
                <c:pt idx="1">
                  <c:v>19</c:v>
                </c:pt>
                <c:pt idx="2">
                  <c:v>20</c:v>
                </c:pt>
                <c:pt idx="3">
                  <c:v>28</c:v>
                </c:pt>
                <c:pt idx="4">
                  <c:v>27</c:v>
                </c:pt>
                <c:pt idx="5">
                  <c:v>3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16-44FD-957E-1AFFED96C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442008528"/>
        <c:axId val="1442006128"/>
      </c:barChart>
      <c:catAx>
        <c:axId val="144200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442006128"/>
        <c:crosses val="autoZero"/>
        <c:auto val="1"/>
        <c:lblAlgn val="ctr"/>
        <c:lblOffset val="100"/>
        <c:noMultiLvlLbl val="0"/>
      </c:catAx>
      <c:valAx>
        <c:axId val="144200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442008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N.º</a:t>
            </a:r>
            <a:r>
              <a:rPr lang="pt-PT" baseline="0"/>
              <a:t> de irmãos dos alunos de um dos cursos da ESTGA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'N.º irmãos'!$C$6:$C$9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'N.º irmãos'!$E$6:$E$9</c:f>
              <c:numCache>
                <c:formatCode>0%</c:formatCode>
                <c:ptCount val="4"/>
                <c:pt idx="0">
                  <c:v>0.28000000000000003</c:v>
                </c:pt>
                <c:pt idx="1">
                  <c:v>0.36</c:v>
                </c:pt>
                <c:pt idx="2">
                  <c:v>0.24</c:v>
                </c:pt>
                <c:pt idx="3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5F-430F-8DC7-BF30F6FAE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3306240"/>
        <c:axId val="1553332160"/>
      </c:barChart>
      <c:catAx>
        <c:axId val="1553306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xi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53332160"/>
        <c:crosses val="autoZero"/>
        <c:auto val="1"/>
        <c:lblAlgn val="ctr"/>
        <c:lblOffset val="100"/>
        <c:noMultiLvlLbl val="0"/>
      </c:catAx>
      <c:valAx>
        <c:axId val="155333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fi(%)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53306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Comprimento</a:t>
            </a:r>
            <a:r>
              <a:rPr lang="pt-PT" baseline="0"/>
              <a:t> dos parafusos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Parafusos!$F$12:$F$17</c:f>
              <c:strCache>
                <c:ptCount val="6"/>
                <c:pt idx="0">
                  <c:v>]2,55;2,71]</c:v>
                </c:pt>
                <c:pt idx="1">
                  <c:v>]2,71;2,87]</c:v>
                </c:pt>
                <c:pt idx="2">
                  <c:v>]2,87;3,03]</c:v>
                </c:pt>
                <c:pt idx="3">
                  <c:v>]3,03;3,19]</c:v>
                </c:pt>
                <c:pt idx="4">
                  <c:v>]3,19;3,35]</c:v>
                </c:pt>
                <c:pt idx="5">
                  <c:v>]3,35;3,51]</c:v>
                </c:pt>
              </c:strCache>
            </c:strRef>
          </c:cat>
          <c:val>
            <c:numRef>
              <c:f>Parafusos!$H$12:$H$17</c:f>
              <c:numCache>
                <c:formatCode>0%</c:formatCode>
                <c:ptCount val="6"/>
                <c:pt idx="0">
                  <c:v>0.06</c:v>
                </c:pt>
                <c:pt idx="1">
                  <c:v>0.16</c:v>
                </c:pt>
                <c:pt idx="2">
                  <c:v>0.38</c:v>
                </c:pt>
                <c:pt idx="3">
                  <c:v>0.16</c:v>
                </c:pt>
                <c:pt idx="4">
                  <c:v>0.18</c:v>
                </c:pt>
                <c:pt idx="5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48-40FC-BA35-A67D1616A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555481984"/>
        <c:axId val="1555481024"/>
      </c:barChart>
      <c:catAx>
        <c:axId val="1555481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55481024"/>
        <c:crosses val="autoZero"/>
        <c:auto val="1"/>
        <c:lblAlgn val="ctr"/>
        <c:lblOffset val="100"/>
        <c:noMultiLvlLbl val="0"/>
      </c:catAx>
      <c:valAx>
        <c:axId val="155548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55481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N.º</a:t>
            </a:r>
            <a:r>
              <a:rPr lang="pt-PT" baseline="0"/>
              <a:t> de pendisks que os alunos da ESTGA têm consigo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Pendisk!$C$21:$C$26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Pendisk!$E$21:$E$26</c:f>
              <c:numCache>
                <c:formatCode>0.0%</c:formatCode>
                <c:ptCount val="6"/>
                <c:pt idx="0">
                  <c:v>0.42666666666666669</c:v>
                </c:pt>
                <c:pt idx="1">
                  <c:v>0.2</c:v>
                </c:pt>
                <c:pt idx="2">
                  <c:v>0.16666666666666666</c:v>
                </c:pt>
                <c:pt idx="3">
                  <c:v>0.12</c:v>
                </c:pt>
                <c:pt idx="4">
                  <c:v>7.3333333333333334E-2</c:v>
                </c:pt>
                <c:pt idx="5">
                  <c:v>1.3333333333333334E-2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78-4AC9-8207-813AE9ABA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7274400"/>
        <c:axId val="967270080"/>
      </c:barChart>
      <c:catAx>
        <c:axId val="967274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xi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67270080"/>
        <c:crosses val="autoZero"/>
        <c:auto val="1"/>
        <c:lblAlgn val="ctr"/>
        <c:lblOffset val="100"/>
        <c:noMultiLvlLbl val="0"/>
      </c:catAx>
      <c:valAx>
        <c:axId val="96727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</a:t>
                </a:r>
                <a:r>
                  <a:rPr lang="en-US" baseline="0"/>
                  <a:t>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6727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n.º</a:t>
            </a:r>
            <a:r>
              <a:rPr lang="pt-PT" baseline="0"/>
              <a:t> de peças de fruta consumidas diariamente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Fruta!$C$8:$C$14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Fruta!$E$8:$E$14</c:f>
              <c:numCache>
                <c:formatCode>0.0%</c:formatCode>
                <c:ptCount val="7"/>
                <c:pt idx="0">
                  <c:v>0.14166666666666666</c:v>
                </c:pt>
                <c:pt idx="1">
                  <c:v>0.15</c:v>
                </c:pt>
                <c:pt idx="2">
                  <c:v>0.15833333333333333</c:v>
                </c:pt>
                <c:pt idx="3">
                  <c:v>0.15833333333333333</c:v>
                </c:pt>
                <c:pt idx="4">
                  <c:v>0.11666666666666667</c:v>
                </c:pt>
                <c:pt idx="5">
                  <c:v>0.125</c:v>
                </c:pt>
                <c:pt idx="6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A1-4E10-8C31-372061C9C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4527487"/>
        <c:axId val="1134528447"/>
      </c:barChart>
      <c:catAx>
        <c:axId val="1134527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xi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34528447"/>
        <c:crosses val="autoZero"/>
        <c:auto val="1"/>
        <c:lblAlgn val="ctr"/>
        <c:lblOffset val="100"/>
        <c:noMultiLvlLbl val="0"/>
      </c:catAx>
      <c:valAx>
        <c:axId val="113452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fi</a:t>
                </a:r>
                <a:r>
                  <a:rPr lang="pt-PT" baseline="0"/>
                  <a:t> (%)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34527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Alturas</a:t>
            </a:r>
            <a:r>
              <a:rPr lang="pt-PT" baseline="0"/>
              <a:t> dos jogadores do Mundial 2022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'alturas jogadores'!$H$14:$H$20</c:f>
              <c:strCache>
                <c:ptCount val="7"/>
                <c:pt idx="0">
                  <c:v>]1,65;1,7]</c:v>
                </c:pt>
                <c:pt idx="1">
                  <c:v>]1,7;1,75]</c:v>
                </c:pt>
                <c:pt idx="2">
                  <c:v>]1,75;1,8]</c:v>
                </c:pt>
                <c:pt idx="3">
                  <c:v>]1,8;1,85]</c:v>
                </c:pt>
                <c:pt idx="4">
                  <c:v>]1,85;1,9]</c:v>
                </c:pt>
                <c:pt idx="5">
                  <c:v>]1,9;1,95]</c:v>
                </c:pt>
                <c:pt idx="6">
                  <c:v>]1,95;2]</c:v>
                </c:pt>
              </c:strCache>
            </c:strRef>
          </c:cat>
          <c:val>
            <c:numRef>
              <c:f>'alturas jogadores'!$J$14:$J$20</c:f>
              <c:numCache>
                <c:formatCode>0.0%</c:formatCode>
                <c:ptCount val="7"/>
                <c:pt idx="0">
                  <c:v>5.8333333333333334E-2</c:v>
                </c:pt>
                <c:pt idx="1">
                  <c:v>0.10833333333333334</c:v>
                </c:pt>
                <c:pt idx="2">
                  <c:v>0.29166666666666669</c:v>
                </c:pt>
                <c:pt idx="3">
                  <c:v>0.25</c:v>
                </c:pt>
                <c:pt idx="4">
                  <c:v>0.20833333333333334</c:v>
                </c:pt>
                <c:pt idx="5">
                  <c:v>6.6666666666666666E-2</c:v>
                </c:pt>
                <c:pt idx="6">
                  <c:v>1.6666666666666666E-2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21-4AE1-9857-4FCCAA2FE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134526527"/>
        <c:axId val="1134527007"/>
      </c:barChart>
      <c:catAx>
        <c:axId val="1134526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Classes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34527007"/>
        <c:crosses val="autoZero"/>
        <c:auto val="1"/>
        <c:lblAlgn val="ctr"/>
        <c:lblOffset val="100"/>
        <c:noMultiLvlLbl val="0"/>
      </c:catAx>
      <c:valAx>
        <c:axId val="113452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fi</a:t>
                </a:r>
                <a:r>
                  <a:rPr lang="pt-PT" baseline="0"/>
                  <a:t> (%)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34526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050"/>
              <a:t>Tempo,</a:t>
            </a:r>
            <a:r>
              <a:rPr lang="pt-PT" sz="1050" baseline="0"/>
              <a:t> em minutos, entre duas chegadas consecutivas de pessoas a um multibanco</a:t>
            </a:r>
          </a:p>
          <a:p>
            <a:pPr>
              <a:defRPr/>
            </a:pP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multibanco!$H$15:$H$21</c:f>
              <c:strCache>
                <c:ptCount val="7"/>
                <c:pt idx="0">
                  <c:v>]0,15;1,27]</c:v>
                </c:pt>
                <c:pt idx="1">
                  <c:v>]1,27;2,39]</c:v>
                </c:pt>
                <c:pt idx="2">
                  <c:v>]2,39;3,51]</c:v>
                </c:pt>
                <c:pt idx="3">
                  <c:v>]3,51;4,63]</c:v>
                </c:pt>
                <c:pt idx="4">
                  <c:v>]4,63;5,75]</c:v>
                </c:pt>
                <c:pt idx="5">
                  <c:v>]5,75;6,87]</c:v>
                </c:pt>
                <c:pt idx="6">
                  <c:v>]6,87;7,99]</c:v>
                </c:pt>
              </c:strCache>
            </c:strRef>
          </c:cat>
          <c:val>
            <c:numRef>
              <c:f>multibanco!$J$15:$J$21</c:f>
              <c:numCache>
                <c:formatCode>0.0%</c:formatCode>
                <c:ptCount val="7"/>
                <c:pt idx="0">
                  <c:v>0.19166666666666668</c:v>
                </c:pt>
                <c:pt idx="1">
                  <c:v>0.23333333333333334</c:v>
                </c:pt>
                <c:pt idx="2">
                  <c:v>0.21666666666666667</c:v>
                </c:pt>
                <c:pt idx="3">
                  <c:v>0.13333333333333333</c:v>
                </c:pt>
                <c:pt idx="4">
                  <c:v>7.4999999999999997E-2</c:v>
                </c:pt>
                <c:pt idx="5">
                  <c:v>7.4999999999999997E-2</c:v>
                </c:pt>
                <c:pt idx="6">
                  <c:v>7.4999999999999997E-2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FA-4D20-893C-6233F8D98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963491568"/>
        <c:axId val="963481488"/>
      </c:barChart>
      <c:catAx>
        <c:axId val="963491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Classes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63481488"/>
        <c:crosses val="autoZero"/>
        <c:auto val="1"/>
        <c:lblAlgn val="ctr"/>
        <c:lblOffset val="100"/>
        <c:noMultiLvlLbl val="0"/>
      </c:catAx>
      <c:valAx>
        <c:axId val="963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fi</a:t>
                </a:r>
                <a:r>
                  <a:rPr lang="pt-PT" baseline="0"/>
                  <a:t> (%)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63491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207698</xdr:colOff>
      <xdr:row>4</xdr:row>
      <xdr:rowOff>14154</xdr:rowOff>
    </xdr:from>
    <xdr:to>
      <xdr:col>17</xdr:col>
      <xdr:colOff>165365</xdr:colOff>
      <xdr:row>18</xdr:row>
      <xdr:rowOff>185207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3A9D312-D264-5AF3-BE1E-983B75175D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174624</xdr:colOff>
      <xdr:row>15</xdr:row>
      <xdr:rowOff>20769</xdr:rowOff>
    </xdr:from>
    <xdr:to>
      <xdr:col>8</xdr:col>
      <xdr:colOff>486833</xdr:colOff>
      <xdr:row>29</xdr:row>
      <xdr:rowOff>78448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079CEB6-52CA-161F-DD42-6EBAA01700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62581</xdr:colOff>
      <xdr:row>21</xdr:row>
      <xdr:rowOff>49752</xdr:rowOff>
    </xdr:from>
    <xdr:to>
      <xdr:col>9</xdr:col>
      <xdr:colOff>177538</xdr:colOff>
      <xdr:row>35</xdr:row>
      <xdr:rowOff>123800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451FAE6-99FB-81B9-6593-AA43A63496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599854</xdr:colOff>
      <xdr:row>10</xdr:row>
      <xdr:rowOff>136248</xdr:rowOff>
    </xdr:from>
    <xdr:to>
      <xdr:col>13</xdr:col>
      <xdr:colOff>227678</xdr:colOff>
      <xdr:row>16</xdr:row>
      <xdr:rowOff>144507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932C5B1-08C4-F475-2968-18603983C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3953" y="2019097"/>
          <a:ext cx="3282766" cy="1149044"/>
        </a:xfrm>
        <a:prstGeom prst="rect">
          <a:avLst/>
        </a:prstGeom>
      </xdr:spPr>
    </xdr:pic>
    <xdr:clientData/>
  </xdr:twoCellAnchor>
  <xdr:twoCellAnchor>
    <xdr:from>
      <xdr:col>8</xdr:col>
      <xdr:colOff>200260</xdr:colOff>
      <xdr:row>0</xdr:row>
      <xdr:rowOff>73271</xdr:rowOff>
    </xdr:from>
    <xdr:to>
      <xdr:col>12</xdr:col>
      <xdr:colOff>530126</xdr:colOff>
      <xdr:row>10</xdr:row>
      <xdr:rowOff>12930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2397765-3EB9-5447-3420-EBCE40FA8D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603710</xdr:colOff>
      <xdr:row>20</xdr:row>
      <xdr:rowOff>41044</xdr:rowOff>
    </xdr:from>
    <xdr:to>
      <xdr:col>8</xdr:col>
      <xdr:colOff>178536</xdr:colOff>
      <xdr:row>34</xdr:row>
      <xdr:rowOff>143012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F54929B-64EF-EE17-BAF9-BA7994BAFF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240799</xdr:colOff>
      <xdr:row>0</xdr:row>
      <xdr:rowOff>0</xdr:rowOff>
    </xdr:from>
    <xdr:to>
      <xdr:col>12</xdr:col>
      <xdr:colOff>202879</xdr:colOff>
      <xdr:row>13</xdr:row>
      <xdr:rowOff>124191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EC07094-08E9-89E2-C8D0-7E1A23628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0827" y="0"/>
          <a:ext cx="6672389" cy="2628517"/>
        </a:xfrm>
        <a:prstGeom prst="rect">
          <a:avLst/>
        </a:prstGeom>
      </xdr:spPr>
    </xdr:pic>
    <xdr:clientData/>
  </xdr:twoCellAnchor>
  <xdr:twoCellAnchor>
    <xdr:from>
      <xdr:col>2</xdr:col>
      <xdr:colOff>132051</xdr:colOff>
      <xdr:row>29</xdr:row>
      <xdr:rowOff>17317</xdr:rowOff>
    </xdr:from>
    <xdr:to>
      <xdr:col>7</xdr:col>
      <xdr:colOff>545524</xdr:colOff>
      <xdr:row>40</xdr:row>
      <xdr:rowOff>131184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3229DE1-2CFD-2FB7-6EC0-5E7C4351A5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410560</xdr:colOff>
      <xdr:row>5</xdr:row>
      <xdr:rowOff>22251</xdr:rowOff>
    </xdr:from>
    <xdr:to>
      <xdr:col>15</xdr:col>
      <xdr:colOff>335837</xdr:colOff>
      <xdr:row>16</xdr:row>
      <xdr:rowOff>32845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80CDAC8-84E8-3EB7-DAF5-D4C112D810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144422</xdr:colOff>
      <xdr:row>16</xdr:row>
      <xdr:rowOff>48070</xdr:rowOff>
    </xdr:from>
    <xdr:to>
      <xdr:col>19</xdr:col>
      <xdr:colOff>346887</xdr:colOff>
      <xdr:row>31</xdr:row>
      <xdr:rowOff>49033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9459B23-C90E-E82D-A572-8A3E90A50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04882" y="3125642"/>
          <a:ext cx="7506111" cy="284814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114300</xdr:colOff>
      <xdr:row>11</xdr:row>
      <xdr:rowOff>80962</xdr:rowOff>
    </xdr:from>
    <xdr:to>
      <xdr:col>20</xdr:col>
      <xdr:colOff>419100</xdr:colOff>
      <xdr:row>25</xdr:row>
      <xdr:rowOff>157162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15487CE-5F89-9CBC-B57A-80038F3EE9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66675</xdr:colOff>
      <xdr:row>13</xdr:row>
      <xdr:rowOff>71437</xdr:rowOff>
    </xdr:from>
    <xdr:to>
      <xdr:col>20</xdr:col>
      <xdr:colOff>371475</xdr:colOff>
      <xdr:row>27</xdr:row>
      <xdr:rowOff>147637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A9AA4BC-387A-8447-41EE-5A446A588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6828F-BE65-48C7-A7F5-4DEA1847F700}">
  <dimension ref="A1:M81"/>
  <sheetViews>
    <sheetView topLeftCell="A3" zoomScale="200" workbookViewId="0">
      <selection activeCell="F12" sqref="F12"/>
    </sheetView>
  </sheetViews>
  <sheetFormatPr defaultRowHeight="15" x14ac:dyDescent="0.25"/>
  <cols>
    <col min="3" max="3" width="20.42578125" customWidth="1"/>
    <col min="11" max="11" width="12.5703125" customWidth="1"/>
  </cols>
  <sheetData>
    <row r="1" spans="1:11" x14ac:dyDescent="0.25">
      <c r="A1">
        <v>2</v>
      </c>
      <c r="C1" t="s">
        <v>0</v>
      </c>
      <c r="I1" t="s">
        <v>1</v>
      </c>
    </row>
    <row r="2" spans="1:11" x14ac:dyDescent="0.25">
      <c r="A2">
        <v>1</v>
      </c>
      <c r="C2" t="s">
        <v>2</v>
      </c>
      <c r="E2">
        <f>COUNT(A1:A80)</f>
        <v>80</v>
      </c>
    </row>
    <row r="3" spans="1:11" x14ac:dyDescent="0.25">
      <c r="A3">
        <v>4</v>
      </c>
    </row>
    <row r="4" spans="1:11" ht="15.75" thickBot="1" x14ac:dyDescent="0.3">
      <c r="A4">
        <v>3</v>
      </c>
      <c r="C4" t="s">
        <v>3</v>
      </c>
      <c r="D4" t="s">
        <v>4</v>
      </c>
      <c r="J4" t="s">
        <v>10</v>
      </c>
      <c r="K4" t="s">
        <v>11</v>
      </c>
    </row>
    <row r="5" spans="1:11" x14ac:dyDescent="0.25">
      <c r="A5">
        <v>1</v>
      </c>
      <c r="D5" s="12" t="s">
        <v>5</v>
      </c>
      <c r="E5" s="13" t="s">
        <v>6</v>
      </c>
      <c r="F5" s="13" t="s">
        <v>7</v>
      </c>
      <c r="G5" s="13" t="s">
        <v>8</v>
      </c>
      <c r="H5" s="14" t="s">
        <v>9</v>
      </c>
    </row>
    <row r="6" spans="1:11" x14ac:dyDescent="0.25">
      <c r="A6">
        <v>1</v>
      </c>
      <c r="D6" s="15">
        <v>0</v>
      </c>
      <c r="E6" s="10">
        <f>COUNTIF($A$1:$A$80,D6)</f>
        <v>12</v>
      </c>
      <c r="F6" s="11">
        <f>E6/80</f>
        <v>0.15</v>
      </c>
      <c r="G6" s="10">
        <f>E6</f>
        <v>12</v>
      </c>
      <c r="H6" s="16">
        <f>F6</f>
        <v>0.15</v>
      </c>
    </row>
    <row r="7" spans="1:11" x14ac:dyDescent="0.25">
      <c r="A7">
        <v>3</v>
      </c>
      <c r="D7" s="15">
        <v>1</v>
      </c>
      <c r="E7" s="10">
        <f t="shared" ref="E7:E12" si="0">COUNTIF($A$1:$A$80,D7)</f>
        <v>24</v>
      </c>
      <c r="F7" s="11">
        <f t="shared" ref="F7:F12" si="1">E7/80</f>
        <v>0.3</v>
      </c>
      <c r="G7" s="10">
        <f>G6+E7</f>
        <v>36</v>
      </c>
      <c r="H7" s="16">
        <f>H6+F7</f>
        <v>0.44999999999999996</v>
      </c>
    </row>
    <row r="8" spans="1:11" x14ac:dyDescent="0.25">
      <c r="A8">
        <v>0</v>
      </c>
      <c r="D8" s="15">
        <v>2</v>
      </c>
      <c r="E8" s="10">
        <f t="shared" si="0"/>
        <v>20</v>
      </c>
      <c r="F8" s="11">
        <f t="shared" si="1"/>
        <v>0.25</v>
      </c>
      <c r="G8" s="10">
        <f t="shared" ref="G8:G12" si="2">G7+E8</f>
        <v>56</v>
      </c>
      <c r="H8" s="16">
        <f t="shared" ref="H8:H12" si="3">H7+F8</f>
        <v>0.7</v>
      </c>
    </row>
    <row r="9" spans="1:11" x14ac:dyDescent="0.25">
      <c r="A9">
        <v>3</v>
      </c>
      <c r="D9" s="15">
        <v>3</v>
      </c>
      <c r="E9" s="10">
        <f t="shared" si="0"/>
        <v>16</v>
      </c>
      <c r="F9" s="11">
        <f t="shared" si="1"/>
        <v>0.2</v>
      </c>
      <c r="G9" s="10">
        <f t="shared" si="2"/>
        <v>72</v>
      </c>
      <c r="H9" s="16">
        <f t="shared" si="3"/>
        <v>0.89999999999999991</v>
      </c>
    </row>
    <row r="10" spans="1:11" x14ac:dyDescent="0.25">
      <c r="A10">
        <v>6</v>
      </c>
      <c r="D10" s="15">
        <v>4</v>
      </c>
      <c r="E10" s="10">
        <f t="shared" si="0"/>
        <v>4</v>
      </c>
      <c r="F10" s="11">
        <f t="shared" si="1"/>
        <v>0.05</v>
      </c>
      <c r="G10" s="10">
        <f t="shared" si="2"/>
        <v>76</v>
      </c>
      <c r="H10" s="16">
        <f t="shared" si="3"/>
        <v>0.95</v>
      </c>
    </row>
    <row r="11" spans="1:11" x14ac:dyDescent="0.25">
      <c r="A11">
        <v>5</v>
      </c>
      <c r="D11" s="15">
        <v>5</v>
      </c>
      <c r="E11" s="10">
        <f t="shared" si="0"/>
        <v>2</v>
      </c>
      <c r="F11" s="11">
        <f t="shared" si="1"/>
        <v>2.5000000000000001E-2</v>
      </c>
      <c r="G11" s="10">
        <f t="shared" si="2"/>
        <v>78</v>
      </c>
      <c r="H11" s="16">
        <f t="shared" si="3"/>
        <v>0.97499999999999998</v>
      </c>
    </row>
    <row r="12" spans="1:11" ht="15.75" thickBot="1" x14ac:dyDescent="0.3">
      <c r="A12">
        <v>0</v>
      </c>
      <c r="D12" s="17">
        <v>6</v>
      </c>
      <c r="E12" s="18">
        <f t="shared" si="0"/>
        <v>2</v>
      </c>
      <c r="F12" s="19">
        <f t="shared" si="1"/>
        <v>2.5000000000000001E-2</v>
      </c>
      <c r="G12" s="18">
        <f t="shared" si="2"/>
        <v>80</v>
      </c>
      <c r="H12" s="20">
        <f t="shared" si="3"/>
        <v>1</v>
      </c>
    </row>
    <row r="13" spans="1:11" x14ac:dyDescent="0.25">
      <c r="A13">
        <v>1</v>
      </c>
      <c r="E13">
        <f>SUM(E6:E12)</f>
        <v>80</v>
      </c>
    </row>
    <row r="14" spans="1:11" x14ac:dyDescent="0.25">
      <c r="A14">
        <v>1</v>
      </c>
    </row>
    <row r="15" spans="1:11" x14ac:dyDescent="0.25">
      <c r="A15">
        <v>3</v>
      </c>
      <c r="C15" t="s">
        <v>12</v>
      </c>
      <c r="D15" t="s">
        <v>13</v>
      </c>
    </row>
    <row r="16" spans="1:11" x14ac:dyDescent="0.25">
      <c r="A16">
        <v>0</v>
      </c>
    </row>
    <row r="17" spans="1:13" x14ac:dyDescent="0.25">
      <c r="A17">
        <v>3</v>
      </c>
    </row>
    <row r="18" spans="1:13" x14ac:dyDescent="0.25">
      <c r="A18">
        <v>2</v>
      </c>
    </row>
    <row r="19" spans="1:13" x14ac:dyDescent="0.25">
      <c r="A19">
        <v>6</v>
      </c>
    </row>
    <row r="20" spans="1:13" x14ac:dyDescent="0.25">
      <c r="A20">
        <v>5</v>
      </c>
    </row>
    <row r="21" spans="1:13" x14ac:dyDescent="0.25">
      <c r="A21">
        <v>0</v>
      </c>
      <c r="J21" t="s">
        <v>14</v>
      </c>
      <c r="K21" t="s">
        <v>17</v>
      </c>
    </row>
    <row r="22" spans="1:13" x14ac:dyDescent="0.25">
      <c r="A22">
        <v>0</v>
      </c>
      <c r="K22" t="s">
        <v>15</v>
      </c>
      <c r="L22">
        <f>AVERAGE(A1:A80)</f>
        <v>1.875</v>
      </c>
    </row>
    <row r="23" spans="1:13" x14ac:dyDescent="0.25">
      <c r="A23">
        <v>4</v>
      </c>
      <c r="K23" t="s">
        <v>16</v>
      </c>
      <c r="L23">
        <f>MODE(A1:A80)</f>
        <v>1</v>
      </c>
    </row>
    <row r="24" spans="1:13" x14ac:dyDescent="0.25">
      <c r="A24">
        <v>1</v>
      </c>
    </row>
    <row r="25" spans="1:13" x14ac:dyDescent="0.25">
      <c r="A25">
        <v>1</v>
      </c>
      <c r="K25" t="s">
        <v>18</v>
      </c>
    </row>
    <row r="26" spans="1:13" x14ac:dyDescent="0.25">
      <c r="A26">
        <v>4</v>
      </c>
      <c r="K26" t="s">
        <v>19</v>
      </c>
      <c r="L26" s="21">
        <f>_xlfn.VAR.S(A1:A80)</f>
        <v>1.9335443037974684</v>
      </c>
    </row>
    <row r="27" spans="1:13" x14ac:dyDescent="0.25">
      <c r="A27">
        <v>0</v>
      </c>
      <c r="K27" t="s">
        <v>20</v>
      </c>
      <c r="L27" s="21">
        <f>_xlfn.STDEV.S(A1:A80)</f>
        <v>1.3905194366845322</v>
      </c>
    </row>
    <row r="28" spans="1:13" x14ac:dyDescent="0.25">
      <c r="A28">
        <v>4</v>
      </c>
    </row>
    <row r="29" spans="1:13" x14ac:dyDescent="0.25">
      <c r="A29">
        <v>3</v>
      </c>
      <c r="K29" t="s">
        <v>21</v>
      </c>
    </row>
    <row r="30" spans="1:13" ht="15.75" thickBot="1" x14ac:dyDescent="0.3">
      <c r="A30">
        <v>3</v>
      </c>
      <c r="K30" t="s">
        <v>22</v>
      </c>
      <c r="L30">
        <f>MEDIAN(A1:A80)</f>
        <v>2</v>
      </c>
      <c r="M30" t="s">
        <v>23</v>
      </c>
    </row>
    <row r="31" spans="1:13" x14ac:dyDescent="0.25">
      <c r="A31">
        <v>3</v>
      </c>
      <c r="C31" s="23" t="s">
        <v>25</v>
      </c>
      <c r="D31" s="23"/>
    </row>
    <row r="32" spans="1:13" x14ac:dyDescent="0.25">
      <c r="A32">
        <v>0</v>
      </c>
      <c r="K32" t="s">
        <v>24</v>
      </c>
    </row>
    <row r="33" spans="1:11" x14ac:dyDescent="0.25">
      <c r="A33">
        <v>0</v>
      </c>
      <c r="C33" t="s">
        <v>15</v>
      </c>
      <c r="D33">
        <v>1.875</v>
      </c>
      <c r="K33" s="7">
        <f>F9+F10+F11+F12</f>
        <v>0.30000000000000004</v>
      </c>
    </row>
    <row r="34" spans="1:11" x14ac:dyDescent="0.25">
      <c r="A34">
        <v>3</v>
      </c>
      <c r="C34" t="s">
        <v>26</v>
      </c>
      <c r="D34">
        <v>0.15546479922306641</v>
      </c>
    </row>
    <row r="35" spans="1:11" x14ac:dyDescent="0.25">
      <c r="A35">
        <v>2</v>
      </c>
      <c r="C35" t="s">
        <v>22</v>
      </c>
      <c r="D35">
        <v>2</v>
      </c>
    </row>
    <row r="36" spans="1:11" x14ac:dyDescent="0.25">
      <c r="A36">
        <v>1</v>
      </c>
      <c r="C36" t="s">
        <v>16</v>
      </c>
      <c r="D36">
        <v>1</v>
      </c>
    </row>
    <row r="37" spans="1:11" x14ac:dyDescent="0.25">
      <c r="A37">
        <v>2</v>
      </c>
      <c r="C37" t="s">
        <v>27</v>
      </c>
      <c r="D37">
        <v>1.3905194366845322</v>
      </c>
    </row>
    <row r="38" spans="1:11" x14ac:dyDescent="0.25">
      <c r="A38">
        <v>0</v>
      </c>
      <c r="C38" t="s">
        <v>28</v>
      </c>
      <c r="D38">
        <v>1.9335443037974684</v>
      </c>
    </row>
    <row r="39" spans="1:11" x14ac:dyDescent="0.25">
      <c r="A39">
        <v>1</v>
      </c>
      <c r="C39" t="s">
        <v>29</v>
      </c>
      <c r="D39">
        <v>0.67950926126060729</v>
      </c>
    </row>
    <row r="40" spans="1:11" x14ac:dyDescent="0.25">
      <c r="A40">
        <v>1</v>
      </c>
      <c r="C40" t="s">
        <v>30</v>
      </c>
      <c r="D40">
        <v>0.8085182597017142</v>
      </c>
    </row>
    <row r="41" spans="1:11" x14ac:dyDescent="0.25">
      <c r="A41">
        <v>2</v>
      </c>
      <c r="C41" t="s">
        <v>31</v>
      </c>
      <c r="D41">
        <v>6</v>
      </c>
    </row>
    <row r="42" spans="1:11" x14ac:dyDescent="0.25">
      <c r="A42">
        <v>2</v>
      </c>
      <c r="C42" t="s">
        <v>32</v>
      </c>
      <c r="D42">
        <v>0</v>
      </c>
    </row>
    <row r="43" spans="1:11" x14ac:dyDescent="0.25">
      <c r="A43">
        <v>2</v>
      </c>
      <c r="C43" t="s">
        <v>33</v>
      </c>
      <c r="D43">
        <v>6</v>
      </c>
    </row>
    <row r="44" spans="1:11" x14ac:dyDescent="0.25">
      <c r="A44">
        <v>3</v>
      </c>
      <c r="C44" t="s">
        <v>34</v>
      </c>
      <c r="D44">
        <v>150</v>
      </c>
    </row>
    <row r="45" spans="1:11" ht="15.75" thickBot="1" x14ac:dyDescent="0.3">
      <c r="A45">
        <v>2</v>
      </c>
      <c r="C45" s="22" t="s">
        <v>35</v>
      </c>
      <c r="D45" s="22">
        <v>80</v>
      </c>
    </row>
    <row r="46" spans="1:11" x14ac:dyDescent="0.25">
      <c r="A46">
        <v>2</v>
      </c>
    </row>
    <row r="47" spans="1:11" x14ac:dyDescent="0.25">
      <c r="A47">
        <v>1</v>
      </c>
    </row>
    <row r="48" spans="1:11" x14ac:dyDescent="0.25">
      <c r="A48">
        <v>1</v>
      </c>
    </row>
    <row r="49" spans="1:1" x14ac:dyDescent="0.25">
      <c r="A49">
        <v>0</v>
      </c>
    </row>
    <row r="50" spans="1:1" x14ac:dyDescent="0.25">
      <c r="A50">
        <v>0</v>
      </c>
    </row>
    <row r="51" spans="1:1" x14ac:dyDescent="0.25">
      <c r="A51">
        <v>0</v>
      </c>
    </row>
    <row r="52" spans="1:1" x14ac:dyDescent="0.25">
      <c r="A52">
        <v>2</v>
      </c>
    </row>
    <row r="53" spans="1:1" x14ac:dyDescent="0.25">
      <c r="A53">
        <v>2</v>
      </c>
    </row>
    <row r="54" spans="1:1" x14ac:dyDescent="0.25">
      <c r="A54">
        <v>1</v>
      </c>
    </row>
    <row r="55" spans="1:1" x14ac:dyDescent="0.25">
      <c r="A55">
        <v>1</v>
      </c>
    </row>
    <row r="56" spans="1:1" x14ac:dyDescent="0.25">
      <c r="A56">
        <v>1</v>
      </c>
    </row>
    <row r="57" spans="1:1" x14ac:dyDescent="0.25">
      <c r="A57">
        <v>1</v>
      </c>
    </row>
    <row r="58" spans="1:1" x14ac:dyDescent="0.25">
      <c r="A58">
        <v>2</v>
      </c>
    </row>
    <row r="59" spans="1:1" x14ac:dyDescent="0.25">
      <c r="A59">
        <v>3</v>
      </c>
    </row>
    <row r="60" spans="1:1" x14ac:dyDescent="0.25">
      <c r="A60">
        <v>3</v>
      </c>
    </row>
    <row r="61" spans="1:1" x14ac:dyDescent="0.25">
      <c r="A61">
        <v>1</v>
      </c>
    </row>
    <row r="62" spans="1:1" x14ac:dyDescent="0.25">
      <c r="A62">
        <v>2</v>
      </c>
    </row>
    <row r="63" spans="1:1" x14ac:dyDescent="0.25">
      <c r="A63">
        <v>3</v>
      </c>
    </row>
    <row r="64" spans="1:1" x14ac:dyDescent="0.25">
      <c r="A64">
        <v>3</v>
      </c>
    </row>
    <row r="65" spans="1:5" x14ac:dyDescent="0.25">
      <c r="A65">
        <v>2</v>
      </c>
    </row>
    <row r="66" spans="1:5" ht="15.75" thickBot="1" x14ac:dyDescent="0.3">
      <c r="A66">
        <v>2</v>
      </c>
    </row>
    <row r="67" spans="1:5" x14ac:dyDescent="0.25">
      <c r="A67">
        <v>1</v>
      </c>
      <c r="D67" s="23"/>
      <c r="E67" s="23"/>
    </row>
    <row r="68" spans="1:5" x14ac:dyDescent="0.25">
      <c r="A68">
        <v>3</v>
      </c>
    </row>
    <row r="69" spans="1:5" x14ac:dyDescent="0.25">
      <c r="A69">
        <v>2</v>
      </c>
    </row>
    <row r="70" spans="1:5" x14ac:dyDescent="0.25">
      <c r="A70">
        <v>1</v>
      </c>
    </row>
    <row r="71" spans="1:5" x14ac:dyDescent="0.25">
      <c r="A71">
        <v>1</v>
      </c>
    </row>
    <row r="72" spans="1:5" x14ac:dyDescent="0.25">
      <c r="A72">
        <v>2</v>
      </c>
    </row>
    <row r="73" spans="1:5" x14ac:dyDescent="0.25">
      <c r="A73">
        <v>1</v>
      </c>
    </row>
    <row r="74" spans="1:5" x14ac:dyDescent="0.25">
      <c r="A74">
        <v>1</v>
      </c>
    </row>
    <row r="75" spans="1:5" x14ac:dyDescent="0.25">
      <c r="A75">
        <v>2</v>
      </c>
    </row>
    <row r="76" spans="1:5" x14ac:dyDescent="0.25">
      <c r="A76">
        <v>2</v>
      </c>
    </row>
    <row r="77" spans="1:5" x14ac:dyDescent="0.25">
      <c r="A77">
        <v>3</v>
      </c>
    </row>
    <row r="78" spans="1:5" x14ac:dyDescent="0.25">
      <c r="A78">
        <v>2</v>
      </c>
    </row>
    <row r="79" spans="1:5" x14ac:dyDescent="0.25">
      <c r="A79">
        <v>1</v>
      </c>
    </row>
    <row r="80" spans="1:5" x14ac:dyDescent="0.25">
      <c r="A80">
        <v>1</v>
      </c>
    </row>
    <row r="81" spans="4:5" ht="15.75" thickBot="1" x14ac:dyDescent="0.3">
      <c r="D81" s="22"/>
      <c r="E81" s="2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CBA46-342B-4C74-9C0C-E17AB7CA1B3F}">
  <dimension ref="A1:L120"/>
  <sheetViews>
    <sheetView zoomScale="177" zoomScaleNormal="290" workbookViewId="0">
      <selection activeCell="C11" sqref="C11"/>
    </sheetView>
  </sheetViews>
  <sheetFormatPr defaultRowHeight="15" x14ac:dyDescent="0.25"/>
  <cols>
    <col min="6" max="6" width="11.85546875" customWidth="1"/>
    <col min="11" max="11" width="12.85546875" customWidth="1"/>
  </cols>
  <sheetData>
    <row r="1" spans="1:10" x14ac:dyDescent="0.25">
      <c r="A1">
        <v>4.21</v>
      </c>
      <c r="C1" t="s">
        <v>2</v>
      </c>
      <c r="F1" t="s">
        <v>32</v>
      </c>
      <c r="G1">
        <f>MIN(A1:A120)</f>
        <v>4.0199999999999996</v>
      </c>
    </row>
    <row r="2" spans="1:10" x14ac:dyDescent="0.25">
      <c r="A2">
        <v>5.13</v>
      </c>
      <c r="C2" t="s">
        <v>46</v>
      </c>
      <c r="F2" t="s">
        <v>33</v>
      </c>
      <c r="G2">
        <f>MAX(A1:A120)</f>
        <v>5.87</v>
      </c>
    </row>
    <row r="3" spans="1:10" x14ac:dyDescent="0.25">
      <c r="A3">
        <v>5.32</v>
      </c>
    </row>
    <row r="4" spans="1:10" x14ac:dyDescent="0.25">
      <c r="A4">
        <v>4.5599999999999996</v>
      </c>
      <c r="C4" t="s">
        <v>47</v>
      </c>
    </row>
    <row r="5" spans="1:10" x14ac:dyDescent="0.25">
      <c r="A5">
        <v>4.6100000000000003</v>
      </c>
      <c r="C5" t="s">
        <v>48</v>
      </c>
      <c r="D5">
        <f>INT(LOG(120,2))+1</f>
        <v>7</v>
      </c>
    </row>
    <row r="6" spans="1:10" x14ac:dyDescent="0.25">
      <c r="A6">
        <v>5.03</v>
      </c>
    </row>
    <row r="7" spans="1:10" x14ac:dyDescent="0.25">
      <c r="A7">
        <v>5.1100000000000003</v>
      </c>
      <c r="C7" t="s">
        <v>49</v>
      </c>
    </row>
    <row r="8" spans="1:10" x14ac:dyDescent="0.25">
      <c r="A8">
        <v>4.37</v>
      </c>
      <c r="C8">
        <f>(G2-G1)/7</f>
        <v>0.26428571428571435</v>
      </c>
      <c r="E8" s="27">
        <v>0.27</v>
      </c>
    </row>
    <row r="9" spans="1:10" x14ac:dyDescent="0.25">
      <c r="A9">
        <v>4.54</v>
      </c>
    </row>
    <row r="10" spans="1:10" x14ac:dyDescent="0.25">
      <c r="A10">
        <v>5.0599999999999996</v>
      </c>
      <c r="C10" t="s">
        <v>56</v>
      </c>
      <c r="F10" t="s">
        <v>4</v>
      </c>
    </row>
    <row r="11" spans="1:10" x14ac:dyDescent="0.25">
      <c r="A11">
        <v>4.2300000000000004</v>
      </c>
      <c r="C11">
        <v>4.01</v>
      </c>
      <c r="F11" t="s">
        <v>50</v>
      </c>
      <c r="G11" t="s">
        <v>6</v>
      </c>
      <c r="H11" t="s">
        <v>7</v>
      </c>
      <c r="I11" t="s">
        <v>8</v>
      </c>
      <c r="J11" t="s">
        <v>9</v>
      </c>
    </row>
    <row r="12" spans="1:10" x14ac:dyDescent="0.25">
      <c r="A12">
        <v>5.14</v>
      </c>
      <c r="C12">
        <f>C11+$E$8</f>
        <v>4.2799999999999994</v>
      </c>
      <c r="F12" t="str">
        <f>CONCATENATE("]",C11,";",C12,"]")</f>
        <v>]4,01;4,28]</v>
      </c>
      <c r="G12">
        <f t="array" ref="G12:G18">FREQUENCY(A1:A120,C12:C18)</f>
        <v>22</v>
      </c>
      <c r="H12" s="6">
        <f>G12/120</f>
        <v>0.18333333333333332</v>
      </c>
      <c r="I12">
        <f>G12</f>
        <v>22</v>
      </c>
      <c r="J12" s="7">
        <f>H12</f>
        <v>0.18333333333333332</v>
      </c>
    </row>
    <row r="13" spans="1:10" x14ac:dyDescent="0.25">
      <c r="A13">
        <v>4.3600000000000003</v>
      </c>
      <c r="C13">
        <f t="shared" ref="C13:C18" si="0">C12+$E$8</f>
        <v>4.5499999999999989</v>
      </c>
      <c r="F13" t="str">
        <f t="shared" ref="F13:F18" si="1">CONCATENATE("]",C12,";",C13,"]")</f>
        <v>]4,28;4,55]</v>
      </c>
      <c r="G13">
        <v>19</v>
      </c>
      <c r="H13" s="6">
        <f t="shared" ref="H13:H18" si="2">G13/120</f>
        <v>0.15833333333333333</v>
      </c>
      <c r="I13">
        <f>I12+G13</f>
        <v>41</v>
      </c>
      <c r="J13" s="7">
        <f>J12+H13</f>
        <v>0.34166666666666667</v>
      </c>
    </row>
    <row r="14" spans="1:10" x14ac:dyDescent="0.25">
      <c r="A14">
        <v>4.7699999999999996</v>
      </c>
      <c r="C14">
        <f t="shared" si="0"/>
        <v>4.8199999999999985</v>
      </c>
      <c r="F14" t="str">
        <f t="shared" si="1"/>
        <v>]4,55;4,82]</v>
      </c>
      <c r="G14">
        <v>20</v>
      </c>
      <c r="H14" s="6">
        <f t="shared" si="2"/>
        <v>0.16666666666666666</v>
      </c>
      <c r="I14">
        <f t="shared" ref="I14:I18" si="3">I13+G14</f>
        <v>61</v>
      </c>
      <c r="J14" s="7">
        <f t="shared" ref="J14:J18" si="4">J13+H14</f>
        <v>0.5083333333333333</v>
      </c>
    </row>
    <row r="15" spans="1:10" x14ac:dyDescent="0.25">
      <c r="A15">
        <v>5.09</v>
      </c>
      <c r="C15">
        <f t="shared" si="0"/>
        <v>5.0899999999999981</v>
      </c>
      <c r="F15" t="str">
        <f t="shared" si="1"/>
        <v>]4,82;5,09]</v>
      </c>
      <c r="G15">
        <v>28</v>
      </c>
      <c r="H15" s="6">
        <f t="shared" si="2"/>
        <v>0.23333333333333334</v>
      </c>
      <c r="I15">
        <f t="shared" si="3"/>
        <v>89</v>
      </c>
      <c r="J15" s="7">
        <f t="shared" si="4"/>
        <v>0.7416666666666667</v>
      </c>
    </row>
    <row r="16" spans="1:10" x14ac:dyDescent="0.25">
      <c r="A16">
        <v>5.0199999999999996</v>
      </c>
      <c r="C16">
        <f t="shared" si="0"/>
        <v>5.3599999999999977</v>
      </c>
      <c r="F16" t="str">
        <f t="shared" si="1"/>
        <v>]5,09;5,36]</v>
      </c>
      <c r="G16">
        <v>27</v>
      </c>
      <c r="H16" s="6">
        <f t="shared" si="2"/>
        <v>0.22500000000000001</v>
      </c>
      <c r="I16">
        <f t="shared" si="3"/>
        <v>116</v>
      </c>
      <c r="J16" s="7">
        <f t="shared" si="4"/>
        <v>0.96666666666666667</v>
      </c>
    </row>
    <row r="17" spans="1:12" x14ac:dyDescent="0.25">
      <c r="A17">
        <v>4.88</v>
      </c>
      <c r="C17">
        <f t="shared" si="0"/>
        <v>5.6299999999999972</v>
      </c>
      <c r="F17" t="str">
        <f t="shared" si="1"/>
        <v>]5,36;5,63]</v>
      </c>
      <c r="G17">
        <v>3</v>
      </c>
      <c r="H17" s="6">
        <f t="shared" si="2"/>
        <v>2.5000000000000001E-2</v>
      </c>
      <c r="I17">
        <f t="shared" si="3"/>
        <v>119</v>
      </c>
      <c r="J17" s="7">
        <f t="shared" si="4"/>
        <v>0.9916666666666667</v>
      </c>
    </row>
    <row r="18" spans="1:12" x14ac:dyDescent="0.25">
      <c r="A18">
        <v>4.51</v>
      </c>
      <c r="C18">
        <f t="shared" si="0"/>
        <v>5.8999999999999968</v>
      </c>
      <c r="F18" t="str">
        <f t="shared" si="1"/>
        <v>]5,63;5,9]</v>
      </c>
      <c r="G18">
        <v>1</v>
      </c>
      <c r="H18" s="6">
        <f t="shared" si="2"/>
        <v>8.3333333333333332E-3</v>
      </c>
      <c r="I18">
        <f t="shared" si="3"/>
        <v>120</v>
      </c>
      <c r="J18" s="7">
        <f t="shared" si="4"/>
        <v>1</v>
      </c>
    </row>
    <row r="19" spans="1:12" x14ac:dyDescent="0.25">
      <c r="A19">
        <v>4.3899999999999997</v>
      </c>
    </row>
    <row r="20" spans="1:12" x14ac:dyDescent="0.25">
      <c r="A20">
        <v>5.07</v>
      </c>
    </row>
    <row r="21" spans="1:12" x14ac:dyDescent="0.25">
      <c r="A21">
        <v>5.19</v>
      </c>
      <c r="C21" t="s">
        <v>10</v>
      </c>
      <c r="D21" t="s">
        <v>53</v>
      </c>
    </row>
    <row r="22" spans="1:12" x14ac:dyDescent="0.25">
      <c r="A22">
        <v>4.26</v>
      </c>
    </row>
    <row r="23" spans="1:12" x14ac:dyDescent="0.25">
      <c r="A23">
        <v>4.28</v>
      </c>
      <c r="K23" t="s">
        <v>12</v>
      </c>
    </row>
    <row r="24" spans="1:12" x14ac:dyDescent="0.25">
      <c r="A24">
        <v>4.07</v>
      </c>
      <c r="K24" t="s">
        <v>17</v>
      </c>
    </row>
    <row r="25" spans="1:12" x14ac:dyDescent="0.25">
      <c r="A25">
        <v>5.33</v>
      </c>
      <c r="K25" t="s">
        <v>40</v>
      </c>
      <c r="L25" s="4">
        <f>AVERAGE(A1:A120)</f>
        <v>4.7498333333333331</v>
      </c>
    </row>
    <row r="26" spans="1:12" x14ac:dyDescent="0.25">
      <c r="A26">
        <v>5.61</v>
      </c>
    </row>
    <row r="27" spans="1:12" x14ac:dyDescent="0.25">
      <c r="A27">
        <v>5.12</v>
      </c>
      <c r="K27" t="s">
        <v>18</v>
      </c>
    </row>
    <row r="28" spans="1:12" x14ac:dyDescent="0.25">
      <c r="A28">
        <v>5.27</v>
      </c>
      <c r="K28" t="s">
        <v>54</v>
      </c>
      <c r="L28">
        <f>G2-G1</f>
        <v>1.8500000000000005</v>
      </c>
    </row>
    <row r="29" spans="1:12" x14ac:dyDescent="0.25">
      <c r="A29">
        <v>4.8499999999999996</v>
      </c>
      <c r="K29" t="s">
        <v>43</v>
      </c>
      <c r="L29" s="21">
        <f>_xlfn.STDEV.S(A1:A120)</f>
        <v>0.40891942731938741</v>
      </c>
    </row>
    <row r="30" spans="1:12" x14ac:dyDescent="0.25">
      <c r="A30">
        <v>4.6900000000000004</v>
      </c>
    </row>
    <row r="31" spans="1:12" x14ac:dyDescent="0.25">
      <c r="A31">
        <v>4.87</v>
      </c>
    </row>
    <row r="32" spans="1:12" x14ac:dyDescent="0.25">
      <c r="A32">
        <v>4.76</v>
      </c>
    </row>
    <row r="33" spans="1:1" x14ac:dyDescent="0.25">
      <c r="A33">
        <v>4.2300000000000004</v>
      </c>
    </row>
    <row r="34" spans="1:1" x14ac:dyDescent="0.25">
      <c r="A34">
        <v>4.1100000000000003</v>
      </c>
    </row>
    <row r="35" spans="1:1" x14ac:dyDescent="0.25">
      <c r="A35">
        <v>5.18</v>
      </c>
    </row>
    <row r="36" spans="1:1" x14ac:dyDescent="0.25">
      <c r="A36">
        <v>4.84</v>
      </c>
    </row>
    <row r="37" spans="1:1" x14ac:dyDescent="0.25">
      <c r="A37">
        <v>4.22</v>
      </c>
    </row>
    <row r="38" spans="1:1" x14ac:dyDescent="0.25">
      <c r="A38">
        <v>4.16</v>
      </c>
    </row>
    <row r="39" spans="1:1" x14ac:dyDescent="0.25">
      <c r="A39">
        <v>4.2699999999999996</v>
      </c>
    </row>
    <row r="40" spans="1:1" x14ac:dyDescent="0.25">
      <c r="A40">
        <v>4.09</v>
      </c>
    </row>
    <row r="41" spans="1:1" x14ac:dyDescent="0.25">
      <c r="A41">
        <v>4.12</v>
      </c>
    </row>
    <row r="42" spans="1:1" x14ac:dyDescent="0.25">
      <c r="A42">
        <v>5.09</v>
      </c>
    </row>
    <row r="43" spans="1:1" x14ac:dyDescent="0.25">
      <c r="A43">
        <v>5.1100000000000003</v>
      </c>
    </row>
    <row r="44" spans="1:1" x14ac:dyDescent="0.25">
      <c r="A44">
        <v>5.13</v>
      </c>
    </row>
    <row r="45" spans="1:1" x14ac:dyDescent="0.25">
      <c r="A45">
        <v>5.01</v>
      </c>
    </row>
    <row r="46" spans="1:1" x14ac:dyDescent="0.25">
      <c r="A46">
        <v>4.9800000000000004</v>
      </c>
    </row>
    <row r="47" spans="1:1" x14ac:dyDescent="0.25">
      <c r="A47">
        <v>4.07</v>
      </c>
    </row>
    <row r="48" spans="1:1" x14ac:dyDescent="0.25">
      <c r="A48">
        <v>4.2300000000000004</v>
      </c>
    </row>
    <row r="49" spans="1:1" x14ac:dyDescent="0.25">
      <c r="A49">
        <v>4.67</v>
      </c>
    </row>
    <row r="50" spans="1:1" x14ac:dyDescent="0.25">
      <c r="A50">
        <v>4.51</v>
      </c>
    </row>
    <row r="51" spans="1:1" x14ac:dyDescent="0.25">
      <c r="A51">
        <v>4.22</v>
      </c>
    </row>
    <row r="52" spans="1:1" x14ac:dyDescent="0.25">
      <c r="A52">
        <v>4.38</v>
      </c>
    </row>
    <row r="53" spans="1:1" x14ac:dyDescent="0.25">
      <c r="A53">
        <v>4.7699999999999996</v>
      </c>
    </row>
    <row r="54" spans="1:1" x14ac:dyDescent="0.25">
      <c r="A54">
        <v>5.0599999999999996</v>
      </c>
    </row>
    <row r="55" spans="1:1" x14ac:dyDescent="0.25">
      <c r="A55">
        <v>5.01</v>
      </c>
    </row>
    <row r="56" spans="1:1" x14ac:dyDescent="0.25">
      <c r="A56">
        <v>4.84</v>
      </c>
    </row>
    <row r="57" spans="1:1" x14ac:dyDescent="0.25">
      <c r="A57">
        <v>4.33</v>
      </c>
    </row>
    <row r="58" spans="1:1" x14ac:dyDescent="0.25">
      <c r="A58">
        <v>4.17</v>
      </c>
    </row>
    <row r="59" spans="1:1" x14ac:dyDescent="0.25">
      <c r="A59">
        <v>4.09</v>
      </c>
    </row>
    <row r="60" spans="1:1" x14ac:dyDescent="0.25">
      <c r="A60">
        <v>4.22</v>
      </c>
    </row>
    <row r="61" spans="1:1" x14ac:dyDescent="0.25">
      <c r="A61">
        <v>4.76</v>
      </c>
    </row>
    <row r="62" spans="1:1" x14ac:dyDescent="0.25">
      <c r="A62">
        <v>4.72</v>
      </c>
    </row>
    <row r="63" spans="1:1" x14ac:dyDescent="0.25">
      <c r="A63">
        <v>4.88</v>
      </c>
    </row>
    <row r="64" spans="1:1" x14ac:dyDescent="0.25">
      <c r="A64">
        <v>4.99</v>
      </c>
    </row>
    <row r="65" spans="1:1" x14ac:dyDescent="0.25">
      <c r="A65">
        <v>5.09</v>
      </c>
    </row>
    <row r="66" spans="1:1" x14ac:dyDescent="0.25">
      <c r="A66">
        <v>5.16</v>
      </c>
    </row>
    <row r="67" spans="1:1" x14ac:dyDescent="0.25">
      <c r="A67">
        <v>5.43</v>
      </c>
    </row>
    <row r="68" spans="1:1" x14ac:dyDescent="0.25">
      <c r="A68">
        <v>5.04</v>
      </c>
    </row>
    <row r="69" spans="1:1" x14ac:dyDescent="0.25">
      <c r="A69">
        <v>5.01</v>
      </c>
    </row>
    <row r="70" spans="1:1" x14ac:dyDescent="0.25">
      <c r="A70">
        <v>4.38</v>
      </c>
    </row>
    <row r="71" spans="1:1" x14ac:dyDescent="0.25">
      <c r="A71">
        <v>4.87</v>
      </c>
    </row>
    <row r="72" spans="1:1" x14ac:dyDescent="0.25">
      <c r="A72">
        <v>4.91</v>
      </c>
    </row>
    <row r="73" spans="1:1" x14ac:dyDescent="0.25">
      <c r="A73">
        <v>5.07</v>
      </c>
    </row>
    <row r="74" spans="1:1" x14ac:dyDescent="0.25">
      <c r="A74">
        <v>5.16</v>
      </c>
    </row>
    <row r="75" spans="1:1" x14ac:dyDescent="0.25">
      <c r="A75">
        <v>5.28</v>
      </c>
    </row>
    <row r="76" spans="1:1" x14ac:dyDescent="0.25">
      <c r="A76">
        <v>5.1100000000000003</v>
      </c>
    </row>
    <row r="77" spans="1:1" x14ac:dyDescent="0.25">
      <c r="A77">
        <v>5.08</v>
      </c>
    </row>
    <row r="78" spans="1:1" x14ac:dyDescent="0.25">
      <c r="A78">
        <v>4.12</v>
      </c>
    </row>
    <row r="79" spans="1:1" x14ac:dyDescent="0.25">
      <c r="A79">
        <v>4.76</v>
      </c>
    </row>
    <row r="80" spans="1:1" x14ac:dyDescent="0.25">
      <c r="A80">
        <v>4.33</v>
      </c>
    </row>
    <row r="81" spans="1:1" x14ac:dyDescent="0.25">
      <c r="A81">
        <v>4.57</v>
      </c>
    </row>
    <row r="82" spans="1:1" x14ac:dyDescent="0.25">
      <c r="A82">
        <v>4.8899999999999997</v>
      </c>
    </row>
    <row r="83" spans="1:1" x14ac:dyDescent="0.25">
      <c r="A83">
        <v>4.88</v>
      </c>
    </row>
    <row r="84" spans="1:1" x14ac:dyDescent="0.25">
      <c r="A84">
        <v>5.09</v>
      </c>
    </row>
    <row r="85" spans="1:1" x14ac:dyDescent="0.25">
      <c r="A85">
        <v>5.38</v>
      </c>
    </row>
    <row r="86" spans="1:1" x14ac:dyDescent="0.25">
      <c r="A86">
        <v>5.1100000000000003</v>
      </c>
    </row>
    <row r="87" spans="1:1" x14ac:dyDescent="0.25">
      <c r="A87">
        <v>5.23</v>
      </c>
    </row>
    <row r="88" spans="1:1" x14ac:dyDescent="0.25">
      <c r="A88">
        <v>4.3600000000000003</v>
      </c>
    </row>
    <row r="89" spans="1:1" x14ac:dyDescent="0.25">
      <c r="A89">
        <v>4.66</v>
      </c>
    </row>
    <row r="90" spans="1:1" x14ac:dyDescent="0.25">
      <c r="A90">
        <v>4.76</v>
      </c>
    </row>
    <row r="91" spans="1:1" x14ac:dyDescent="0.25">
      <c r="A91">
        <v>4.9800000000000004</v>
      </c>
    </row>
    <row r="92" spans="1:1" x14ac:dyDescent="0.25">
      <c r="A92">
        <v>4.53</v>
      </c>
    </row>
    <row r="93" spans="1:1" x14ac:dyDescent="0.25">
      <c r="A93">
        <v>4.4400000000000004</v>
      </c>
    </row>
    <row r="94" spans="1:1" x14ac:dyDescent="0.25">
      <c r="A94">
        <v>4.22</v>
      </c>
    </row>
    <row r="95" spans="1:1" x14ac:dyDescent="0.25">
      <c r="A95">
        <v>5.01</v>
      </c>
    </row>
    <row r="96" spans="1:1" x14ac:dyDescent="0.25">
      <c r="A96">
        <v>5.12</v>
      </c>
    </row>
    <row r="97" spans="1:1" x14ac:dyDescent="0.25">
      <c r="A97">
        <v>4.37</v>
      </c>
    </row>
    <row r="98" spans="1:1" x14ac:dyDescent="0.25">
      <c r="A98">
        <v>4.08</v>
      </c>
    </row>
    <row r="99" spans="1:1" x14ac:dyDescent="0.25">
      <c r="A99">
        <v>5.87</v>
      </c>
    </row>
    <row r="100" spans="1:1" x14ac:dyDescent="0.25">
      <c r="A100">
        <v>5.34</v>
      </c>
    </row>
    <row r="101" spans="1:1" x14ac:dyDescent="0.25">
      <c r="A101">
        <v>4.33</v>
      </c>
    </row>
    <row r="102" spans="1:1" x14ac:dyDescent="0.25">
      <c r="A102">
        <v>4.18</v>
      </c>
    </row>
    <row r="103" spans="1:1" x14ac:dyDescent="0.25">
      <c r="A103">
        <v>4.5599999999999996</v>
      </c>
    </row>
    <row r="104" spans="1:1" x14ac:dyDescent="0.25">
      <c r="A104">
        <v>4.71</v>
      </c>
    </row>
    <row r="105" spans="1:1" x14ac:dyDescent="0.25">
      <c r="A105">
        <v>4.9800000000000004</v>
      </c>
    </row>
    <row r="106" spans="1:1" x14ac:dyDescent="0.25">
      <c r="A106">
        <v>4.0199999999999996</v>
      </c>
    </row>
    <row r="107" spans="1:1" x14ac:dyDescent="0.25">
      <c r="A107">
        <v>5.08</v>
      </c>
    </row>
    <row r="108" spans="1:1" x14ac:dyDescent="0.25">
      <c r="A108">
        <v>5.22</v>
      </c>
    </row>
    <row r="109" spans="1:1" x14ac:dyDescent="0.25">
      <c r="A109">
        <v>4.66</v>
      </c>
    </row>
    <row r="110" spans="1:1" x14ac:dyDescent="0.25">
      <c r="A110">
        <v>4.76</v>
      </c>
    </row>
    <row r="111" spans="1:1" x14ac:dyDescent="0.25">
      <c r="A111">
        <v>4.32</v>
      </c>
    </row>
    <row r="112" spans="1:1" x14ac:dyDescent="0.25">
      <c r="A112">
        <v>5.17</v>
      </c>
    </row>
    <row r="113" spans="1:1" x14ac:dyDescent="0.25">
      <c r="A113">
        <v>4.99</v>
      </c>
    </row>
    <row r="114" spans="1:1" x14ac:dyDescent="0.25">
      <c r="A114">
        <v>4.71</v>
      </c>
    </row>
    <row r="115" spans="1:1" x14ac:dyDescent="0.25">
      <c r="A115">
        <v>5.33</v>
      </c>
    </row>
    <row r="116" spans="1:1" x14ac:dyDescent="0.25">
      <c r="A116">
        <v>5.09</v>
      </c>
    </row>
    <row r="117" spans="1:1" x14ac:dyDescent="0.25">
      <c r="A117">
        <v>4.7699999999999996</v>
      </c>
    </row>
    <row r="118" spans="1:1" x14ac:dyDescent="0.25">
      <c r="A118">
        <v>4.37</v>
      </c>
    </row>
    <row r="119" spans="1:1" x14ac:dyDescent="0.25">
      <c r="A119">
        <v>4.3099999999999996</v>
      </c>
    </row>
    <row r="120" spans="1:1" x14ac:dyDescent="0.25">
      <c r="A120">
        <v>4.57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AF88D-C520-4F21-800D-C3F0CD2E1DFF}">
  <dimension ref="A1:I150"/>
  <sheetViews>
    <sheetView topLeftCell="A5" zoomScale="172" workbookViewId="0">
      <selection activeCell="G19" sqref="G19"/>
    </sheetView>
  </sheetViews>
  <sheetFormatPr defaultRowHeight="15" x14ac:dyDescent="0.25"/>
  <cols>
    <col min="3" max="3" width="19.42578125" customWidth="1"/>
    <col min="6" max="6" width="13" customWidth="1"/>
  </cols>
  <sheetData>
    <row r="1" spans="1:9" x14ac:dyDescent="0.25">
      <c r="A1">
        <v>1</v>
      </c>
      <c r="C1" t="s">
        <v>36</v>
      </c>
    </row>
    <row r="2" spans="1:9" x14ac:dyDescent="0.25">
      <c r="A2">
        <v>0</v>
      </c>
      <c r="C2" t="s">
        <v>37</v>
      </c>
      <c r="E2">
        <f>COUNT(A1:A150)</f>
        <v>150</v>
      </c>
    </row>
    <row r="3" spans="1:9" x14ac:dyDescent="0.25">
      <c r="A3">
        <v>0</v>
      </c>
    </row>
    <row r="4" spans="1:9" x14ac:dyDescent="0.25">
      <c r="A4">
        <v>2</v>
      </c>
      <c r="C4" t="s">
        <v>3</v>
      </c>
      <c r="D4" t="s">
        <v>4</v>
      </c>
      <c r="I4" t="s">
        <v>10</v>
      </c>
    </row>
    <row r="5" spans="1:9" x14ac:dyDescent="0.25">
      <c r="A5">
        <v>2</v>
      </c>
      <c r="C5" s="9" t="s">
        <v>5</v>
      </c>
      <c r="D5" s="9" t="s">
        <v>6</v>
      </c>
      <c r="E5" s="9" t="s">
        <v>38</v>
      </c>
      <c r="F5" s="9" t="s">
        <v>8</v>
      </c>
      <c r="G5" s="9" t="s">
        <v>39</v>
      </c>
    </row>
    <row r="6" spans="1:9" x14ac:dyDescent="0.25">
      <c r="A6">
        <v>3</v>
      </c>
      <c r="C6" s="10">
        <v>0</v>
      </c>
      <c r="D6" s="10">
        <f>COUNTIF($A$1:$A$150,C6)</f>
        <v>42</v>
      </c>
      <c r="E6" s="25">
        <f>D6/150</f>
        <v>0.28000000000000003</v>
      </c>
      <c r="F6" s="10">
        <f>D6</f>
        <v>42</v>
      </c>
      <c r="G6" s="26">
        <f>E6</f>
        <v>0.28000000000000003</v>
      </c>
    </row>
    <row r="7" spans="1:9" x14ac:dyDescent="0.25">
      <c r="A7">
        <v>0</v>
      </c>
      <c r="C7" s="10">
        <v>1</v>
      </c>
      <c r="D7" s="10">
        <f t="shared" ref="D7:D9" si="0">COUNTIF($A$1:$A$150,C7)</f>
        <v>54</v>
      </c>
      <c r="E7" s="25">
        <f t="shared" ref="E7:E9" si="1">D7/150</f>
        <v>0.36</v>
      </c>
      <c r="F7" s="10">
        <f>F6+D7</f>
        <v>96</v>
      </c>
      <c r="G7" s="26">
        <f>G6+E7</f>
        <v>0.64</v>
      </c>
    </row>
    <row r="8" spans="1:9" x14ac:dyDescent="0.25">
      <c r="A8">
        <v>1</v>
      </c>
      <c r="C8" s="10">
        <v>2</v>
      </c>
      <c r="D8" s="10">
        <f t="shared" si="0"/>
        <v>36</v>
      </c>
      <c r="E8" s="25">
        <f t="shared" si="1"/>
        <v>0.24</v>
      </c>
      <c r="F8" s="10">
        <f t="shared" ref="F8:F9" si="2">F7+D8</f>
        <v>132</v>
      </c>
      <c r="G8" s="26">
        <f t="shared" ref="G8:G9" si="3">G7+E8</f>
        <v>0.88</v>
      </c>
    </row>
    <row r="9" spans="1:9" x14ac:dyDescent="0.25">
      <c r="A9">
        <v>1</v>
      </c>
      <c r="C9" s="10">
        <v>3</v>
      </c>
      <c r="D9" s="10">
        <f t="shared" si="0"/>
        <v>18</v>
      </c>
      <c r="E9" s="25">
        <f t="shared" si="1"/>
        <v>0.12</v>
      </c>
      <c r="F9" s="10">
        <f t="shared" si="2"/>
        <v>150</v>
      </c>
      <c r="G9" s="26">
        <f t="shared" si="3"/>
        <v>1</v>
      </c>
    </row>
    <row r="10" spans="1:9" x14ac:dyDescent="0.25">
      <c r="A10">
        <v>0</v>
      </c>
      <c r="D10">
        <f>SUM(D6:D9)</f>
        <v>150</v>
      </c>
    </row>
    <row r="11" spans="1:9" x14ac:dyDescent="0.25">
      <c r="A11">
        <v>0</v>
      </c>
    </row>
    <row r="12" spans="1:9" ht="15.75" thickBot="1" x14ac:dyDescent="0.3">
      <c r="A12">
        <v>2</v>
      </c>
      <c r="C12" t="s">
        <v>12</v>
      </c>
    </row>
    <row r="13" spans="1:9" x14ac:dyDescent="0.25">
      <c r="A13">
        <v>2</v>
      </c>
      <c r="C13" s="23" t="s">
        <v>25</v>
      </c>
      <c r="D13" s="23"/>
      <c r="F13" t="s">
        <v>17</v>
      </c>
    </row>
    <row r="14" spans="1:9" x14ac:dyDescent="0.25">
      <c r="A14">
        <v>3</v>
      </c>
      <c r="F14" t="s">
        <v>40</v>
      </c>
      <c r="G14">
        <v>1.2</v>
      </c>
    </row>
    <row r="15" spans="1:9" x14ac:dyDescent="0.25">
      <c r="A15">
        <v>1</v>
      </c>
      <c r="C15" t="s">
        <v>15</v>
      </c>
      <c r="D15">
        <v>1.2</v>
      </c>
      <c r="F15" t="s">
        <v>41</v>
      </c>
      <c r="G15">
        <v>1</v>
      </c>
    </row>
    <row r="16" spans="1:9" x14ac:dyDescent="0.25">
      <c r="A16">
        <v>0</v>
      </c>
      <c r="C16" t="s">
        <v>26</v>
      </c>
      <c r="D16">
        <v>8.0268007450878143E-2</v>
      </c>
    </row>
    <row r="17" spans="1:8" x14ac:dyDescent="0.25">
      <c r="A17">
        <v>1</v>
      </c>
      <c r="C17" t="s">
        <v>22</v>
      </c>
      <c r="D17">
        <v>1</v>
      </c>
      <c r="F17" t="s">
        <v>18</v>
      </c>
    </row>
    <row r="18" spans="1:8" x14ac:dyDescent="0.25">
      <c r="A18">
        <v>2</v>
      </c>
      <c r="C18" t="s">
        <v>16</v>
      </c>
      <c r="D18">
        <v>1</v>
      </c>
      <c r="F18" t="s">
        <v>42</v>
      </c>
      <c r="G18">
        <v>0.96599999999999997</v>
      </c>
    </row>
    <row r="19" spans="1:8" x14ac:dyDescent="0.25">
      <c r="A19">
        <v>3</v>
      </c>
      <c r="C19" t="s">
        <v>27</v>
      </c>
      <c r="D19">
        <v>0.98307830462284862</v>
      </c>
      <c r="F19" t="s">
        <v>43</v>
      </c>
      <c r="G19">
        <v>0.98299999999999998</v>
      </c>
    </row>
    <row r="20" spans="1:8" x14ac:dyDescent="0.25">
      <c r="A20">
        <v>2</v>
      </c>
      <c r="C20" t="s">
        <v>28</v>
      </c>
      <c r="D20">
        <v>0.96644295302013428</v>
      </c>
    </row>
    <row r="21" spans="1:8" x14ac:dyDescent="0.25">
      <c r="A21">
        <v>2</v>
      </c>
      <c r="C21" t="s">
        <v>29</v>
      </c>
      <c r="D21">
        <v>-0.88533527149598257</v>
      </c>
      <c r="F21" t="s">
        <v>21</v>
      </c>
    </row>
    <row r="22" spans="1:8" x14ac:dyDescent="0.25">
      <c r="A22">
        <v>1</v>
      </c>
      <c r="C22" t="s">
        <v>30</v>
      </c>
      <c r="D22">
        <v>0.36083568120834519</v>
      </c>
      <c r="F22" t="s">
        <v>44</v>
      </c>
      <c r="G22">
        <v>1</v>
      </c>
      <c r="H22" t="s">
        <v>45</v>
      </c>
    </row>
    <row r="23" spans="1:8" x14ac:dyDescent="0.25">
      <c r="A23">
        <v>1</v>
      </c>
      <c r="C23" t="s">
        <v>31</v>
      </c>
      <c r="D23">
        <v>3</v>
      </c>
    </row>
    <row r="24" spans="1:8" x14ac:dyDescent="0.25">
      <c r="A24">
        <v>0</v>
      </c>
      <c r="C24" t="s">
        <v>32</v>
      </c>
      <c r="D24">
        <v>0</v>
      </c>
      <c r="F24" t="s">
        <v>24</v>
      </c>
    </row>
    <row r="25" spans="1:8" x14ac:dyDescent="0.25">
      <c r="A25">
        <v>0</v>
      </c>
      <c r="C25" t="s">
        <v>33</v>
      </c>
      <c r="D25">
        <v>3</v>
      </c>
      <c r="F25" s="24">
        <f>E7+E6</f>
        <v>0.64</v>
      </c>
    </row>
    <row r="26" spans="1:8" x14ac:dyDescent="0.25">
      <c r="A26">
        <v>0</v>
      </c>
      <c r="C26" t="s">
        <v>34</v>
      </c>
      <c r="D26">
        <v>180</v>
      </c>
    </row>
    <row r="27" spans="1:8" ht="15.75" thickBot="1" x14ac:dyDescent="0.3">
      <c r="A27">
        <v>1</v>
      </c>
      <c r="C27" s="22" t="s">
        <v>35</v>
      </c>
      <c r="D27" s="22">
        <v>150</v>
      </c>
    </row>
    <row r="28" spans="1:8" x14ac:dyDescent="0.25">
      <c r="A28">
        <v>1</v>
      </c>
    </row>
    <row r="29" spans="1:8" x14ac:dyDescent="0.25">
      <c r="A29">
        <v>3</v>
      </c>
    </row>
    <row r="30" spans="1:8" x14ac:dyDescent="0.25">
      <c r="A30">
        <v>1</v>
      </c>
    </row>
    <row r="31" spans="1:8" x14ac:dyDescent="0.25">
      <c r="A31">
        <v>3</v>
      </c>
    </row>
    <row r="32" spans="1:8" x14ac:dyDescent="0.25">
      <c r="A32">
        <v>2</v>
      </c>
    </row>
    <row r="33" spans="1:1" x14ac:dyDescent="0.25">
      <c r="A33">
        <v>2</v>
      </c>
    </row>
    <row r="34" spans="1:1" x14ac:dyDescent="0.25">
      <c r="A34">
        <v>3</v>
      </c>
    </row>
    <row r="35" spans="1:1" x14ac:dyDescent="0.25">
      <c r="A35">
        <v>1</v>
      </c>
    </row>
    <row r="36" spans="1:1" x14ac:dyDescent="0.25">
      <c r="A36">
        <v>1</v>
      </c>
    </row>
    <row r="37" spans="1:1" x14ac:dyDescent="0.25">
      <c r="A37">
        <v>1</v>
      </c>
    </row>
    <row r="38" spans="1:1" x14ac:dyDescent="0.25">
      <c r="A38">
        <v>1</v>
      </c>
    </row>
    <row r="39" spans="1:1" x14ac:dyDescent="0.25">
      <c r="A39">
        <v>2</v>
      </c>
    </row>
    <row r="40" spans="1:1" x14ac:dyDescent="0.25">
      <c r="A40">
        <v>2</v>
      </c>
    </row>
    <row r="41" spans="1:1" x14ac:dyDescent="0.25">
      <c r="A41">
        <v>3</v>
      </c>
    </row>
    <row r="42" spans="1:1" x14ac:dyDescent="0.25">
      <c r="A42">
        <v>1</v>
      </c>
    </row>
    <row r="43" spans="1:1" x14ac:dyDescent="0.25">
      <c r="A43">
        <v>3</v>
      </c>
    </row>
    <row r="44" spans="1:1" x14ac:dyDescent="0.25">
      <c r="A44">
        <v>3</v>
      </c>
    </row>
    <row r="45" spans="1:1" x14ac:dyDescent="0.25">
      <c r="A45">
        <v>0</v>
      </c>
    </row>
    <row r="46" spans="1:1" x14ac:dyDescent="0.25">
      <c r="A46">
        <v>0</v>
      </c>
    </row>
    <row r="47" spans="1:1" x14ac:dyDescent="0.25">
      <c r="A47">
        <v>0</v>
      </c>
    </row>
    <row r="48" spans="1:1" x14ac:dyDescent="0.25">
      <c r="A48">
        <v>1</v>
      </c>
    </row>
    <row r="49" spans="1:1" x14ac:dyDescent="0.25">
      <c r="A49">
        <v>1</v>
      </c>
    </row>
    <row r="50" spans="1:1" x14ac:dyDescent="0.25">
      <c r="A50">
        <v>2</v>
      </c>
    </row>
    <row r="51" spans="1:1" x14ac:dyDescent="0.25">
      <c r="A51">
        <v>0</v>
      </c>
    </row>
    <row r="52" spans="1:1" x14ac:dyDescent="0.25">
      <c r="A52">
        <v>1</v>
      </c>
    </row>
    <row r="53" spans="1:1" x14ac:dyDescent="0.25">
      <c r="A53">
        <v>2</v>
      </c>
    </row>
    <row r="54" spans="1:1" x14ac:dyDescent="0.25">
      <c r="A54">
        <v>0</v>
      </c>
    </row>
    <row r="55" spans="1:1" x14ac:dyDescent="0.25">
      <c r="A55">
        <v>0</v>
      </c>
    </row>
    <row r="56" spans="1:1" x14ac:dyDescent="0.25">
      <c r="A56">
        <v>1</v>
      </c>
    </row>
    <row r="57" spans="1:1" x14ac:dyDescent="0.25">
      <c r="A57">
        <v>1</v>
      </c>
    </row>
    <row r="58" spans="1:1" x14ac:dyDescent="0.25">
      <c r="A58">
        <v>1</v>
      </c>
    </row>
    <row r="59" spans="1:1" x14ac:dyDescent="0.25">
      <c r="A59">
        <v>3</v>
      </c>
    </row>
    <row r="60" spans="1:1" x14ac:dyDescent="0.25">
      <c r="A60">
        <v>2</v>
      </c>
    </row>
    <row r="61" spans="1:1" x14ac:dyDescent="0.25">
      <c r="A61">
        <v>3</v>
      </c>
    </row>
    <row r="62" spans="1:1" x14ac:dyDescent="0.25">
      <c r="A62">
        <v>2</v>
      </c>
    </row>
    <row r="63" spans="1:1" x14ac:dyDescent="0.25">
      <c r="A63">
        <v>1</v>
      </c>
    </row>
    <row r="64" spans="1:1" x14ac:dyDescent="0.25">
      <c r="A64">
        <v>1</v>
      </c>
    </row>
    <row r="65" spans="1:1" x14ac:dyDescent="0.25">
      <c r="A65">
        <v>0</v>
      </c>
    </row>
    <row r="66" spans="1:1" x14ac:dyDescent="0.25">
      <c r="A66">
        <v>0</v>
      </c>
    </row>
    <row r="67" spans="1:1" x14ac:dyDescent="0.25">
      <c r="A67">
        <v>2</v>
      </c>
    </row>
    <row r="68" spans="1:1" x14ac:dyDescent="0.25">
      <c r="A68">
        <v>2</v>
      </c>
    </row>
    <row r="69" spans="1:1" x14ac:dyDescent="0.25">
      <c r="A69">
        <v>3</v>
      </c>
    </row>
    <row r="70" spans="1:1" x14ac:dyDescent="0.25">
      <c r="A70">
        <v>3</v>
      </c>
    </row>
    <row r="71" spans="1:1" x14ac:dyDescent="0.25">
      <c r="A71">
        <v>1</v>
      </c>
    </row>
    <row r="72" spans="1:1" x14ac:dyDescent="0.25">
      <c r="A72">
        <v>1</v>
      </c>
    </row>
    <row r="73" spans="1:1" x14ac:dyDescent="0.25">
      <c r="A73">
        <v>0</v>
      </c>
    </row>
    <row r="74" spans="1:1" x14ac:dyDescent="0.25">
      <c r="A74">
        <v>0</v>
      </c>
    </row>
    <row r="75" spans="1:1" x14ac:dyDescent="0.25">
      <c r="A75">
        <v>0</v>
      </c>
    </row>
    <row r="76" spans="1:1" x14ac:dyDescent="0.25">
      <c r="A76">
        <v>0</v>
      </c>
    </row>
    <row r="77" spans="1:1" x14ac:dyDescent="0.25">
      <c r="A77">
        <v>0</v>
      </c>
    </row>
    <row r="78" spans="1:1" x14ac:dyDescent="0.25">
      <c r="A78">
        <v>1</v>
      </c>
    </row>
    <row r="79" spans="1:1" x14ac:dyDescent="0.25">
      <c r="A79">
        <v>0</v>
      </c>
    </row>
    <row r="80" spans="1:1" x14ac:dyDescent="0.25">
      <c r="A80">
        <v>1</v>
      </c>
    </row>
    <row r="81" spans="1:1" x14ac:dyDescent="0.25">
      <c r="A81">
        <v>1</v>
      </c>
    </row>
    <row r="82" spans="1:1" x14ac:dyDescent="0.25">
      <c r="A82">
        <v>0</v>
      </c>
    </row>
    <row r="83" spans="1:1" x14ac:dyDescent="0.25">
      <c r="A83">
        <v>0</v>
      </c>
    </row>
    <row r="84" spans="1:1" x14ac:dyDescent="0.25">
      <c r="A84">
        <v>0</v>
      </c>
    </row>
    <row r="85" spans="1:1" x14ac:dyDescent="0.25">
      <c r="A85">
        <v>2</v>
      </c>
    </row>
    <row r="86" spans="1:1" x14ac:dyDescent="0.25">
      <c r="A86">
        <v>0</v>
      </c>
    </row>
    <row r="87" spans="1:1" x14ac:dyDescent="0.25">
      <c r="A87">
        <v>0</v>
      </c>
    </row>
    <row r="88" spans="1:1" x14ac:dyDescent="0.25">
      <c r="A88">
        <v>3</v>
      </c>
    </row>
    <row r="89" spans="1:1" x14ac:dyDescent="0.25">
      <c r="A89">
        <v>0</v>
      </c>
    </row>
    <row r="90" spans="1:1" x14ac:dyDescent="0.25">
      <c r="A90">
        <v>0</v>
      </c>
    </row>
    <row r="91" spans="1:1" x14ac:dyDescent="0.25">
      <c r="A91">
        <v>0</v>
      </c>
    </row>
    <row r="92" spans="1:1" x14ac:dyDescent="0.25">
      <c r="A92">
        <v>1</v>
      </c>
    </row>
    <row r="93" spans="1:1" x14ac:dyDescent="0.25">
      <c r="A93">
        <v>1</v>
      </c>
    </row>
    <row r="94" spans="1:1" x14ac:dyDescent="0.25">
      <c r="A94">
        <v>3</v>
      </c>
    </row>
    <row r="95" spans="1:1" x14ac:dyDescent="0.25">
      <c r="A95">
        <v>1</v>
      </c>
    </row>
    <row r="96" spans="1:1" x14ac:dyDescent="0.25">
      <c r="A96">
        <v>1</v>
      </c>
    </row>
    <row r="97" spans="1:1" x14ac:dyDescent="0.25">
      <c r="A97">
        <v>0</v>
      </c>
    </row>
    <row r="98" spans="1:1" x14ac:dyDescent="0.25">
      <c r="A98">
        <v>0</v>
      </c>
    </row>
    <row r="99" spans="1:1" x14ac:dyDescent="0.25">
      <c r="A99">
        <v>0</v>
      </c>
    </row>
    <row r="100" spans="1:1" x14ac:dyDescent="0.25">
      <c r="A100">
        <v>1</v>
      </c>
    </row>
    <row r="101" spans="1:1" x14ac:dyDescent="0.25">
      <c r="A101">
        <v>1</v>
      </c>
    </row>
    <row r="102" spans="1:1" x14ac:dyDescent="0.25">
      <c r="A102">
        <v>1</v>
      </c>
    </row>
    <row r="103" spans="1:1" x14ac:dyDescent="0.25">
      <c r="A103">
        <v>1</v>
      </c>
    </row>
    <row r="104" spans="1:1" x14ac:dyDescent="0.25">
      <c r="A104">
        <v>3</v>
      </c>
    </row>
    <row r="105" spans="1:1" x14ac:dyDescent="0.25">
      <c r="A105">
        <v>2</v>
      </c>
    </row>
    <row r="106" spans="1:1" x14ac:dyDescent="0.25">
      <c r="A106">
        <v>1</v>
      </c>
    </row>
    <row r="107" spans="1:1" x14ac:dyDescent="0.25">
      <c r="A107">
        <v>1</v>
      </c>
    </row>
    <row r="108" spans="1:1" x14ac:dyDescent="0.25">
      <c r="A108">
        <v>0</v>
      </c>
    </row>
    <row r="109" spans="1:1" x14ac:dyDescent="0.25">
      <c r="A109">
        <v>1</v>
      </c>
    </row>
    <row r="110" spans="1:1" x14ac:dyDescent="0.25">
      <c r="A110">
        <v>2</v>
      </c>
    </row>
    <row r="111" spans="1:1" x14ac:dyDescent="0.25">
      <c r="A111">
        <v>2</v>
      </c>
    </row>
    <row r="112" spans="1:1" x14ac:dyDescent="0.25">
      <c r="A112">
        <v>0</v>
      </c>
    </row>
    <row r="113" spans="1:1" x14ac:dyDescent="0.25">
      <c r="A113">
        <v>1</v>
      </c>
    </row>
    <row r="114" spans="1:1" x14ac:dyDescent="0.25">
      <c r="A114">
        <v>2</v>
      </c>
    </row>
    <row r="115" spans="1:1" x14ac:dyDescent="0.25">
      <c r="A115">
        <v>0</v>
      </c>
    </row>
    <row r="116" spans="1:1" x14ac:dyDescent="0.25">
      <c r="A116">
        <v>0</v>
      </c>
    </row>
    <row r="117" spans="1:1" x14ac:dyDescent="0.25">
      <c r="A117">
        <v>2</v>
      </c>
    </row>
    <row r="118" spans="1:1" x14ac:dyDescent="0.25">
      <c r="A118">
        <v>2</v>
      </c>
    </row>
    <row r="119" spans="1:1" x14ac:dyDescent="0.25">
      <c r="A119">
        <v>2</v>
      </c>
    </row>
    <row r="120" spans="1:1" x14ac:dyDescent="0.25">
      <c r="A120">
        <v>1</v>
      </c>
    </row>
    <row r="121" spans="1:1" x14ac:dyDescent="0.25">
      <c r="A121">
        <v>1</v>
      </c>
    </row>
    <row r="122" spans="1:1" x14ac:dyDescent="0.25">
      <c r="A122">
        <v>0</v>
      </c>
    </row>
    <row r="123" spans="1:1" x14ac:dyDescent="0.25">
      <c r="A123">
        <v>0</v>
      </c>
    </row>
    <row r="124" spans="1:1" x14ac:dyDescent="0.25">
      <c r="A124">
        <v>1</v>
      </c>
    </row>
    <row r="125" spans="1:1" x14ac:dyDescent="0.25">
      <c r="A125">
        <v>1</v>
      </c>
    </row>
    <row r="126" spans="1:1" x14ac:dyDescent="0.25">
      <c r="A126">
        <v>0</v>
      </c>
    </row>
    <row r="127" spans="1:1" x14ac:dyDescent="0.25">
      <c r="A127">
        <v>2</v>
      </c>
    </row>
    <row r="128" spans="1:1" x14ac:dyDescent="0.25">
      <c r="A128">
        <v>2</v>
      </c>
    </row>
    <row r="129" spans="1:1" x14ac:dyDescent="0.25">
      <c r="A129">
        <v>2</v>
      </c>
    </row>
    <row r="130" spans="1:1" x14ac:dyDescent="0.25">
      <c r="A130">
        <v>1</v>
      </c>
    </row>
    <row r="131" spans="1:1" x14ac:dyDescent="0.25">
      <c r="A131">
        <v>1</v>
      </c>
    </row>
    <row r="132" spans="1:1" x14ac:dyDescent="0.25">
      <c r="A132">
        <v>0</v>
      </c>
    </row>
    <row r="133" spans="1:1" x14ac:dyDescent="0.25">
      <c r="A133">
        <v>2</v>
      </c>
    </row>
    <row r="134" spans="1:1" x14ac:dyDescent="0.25">
      <c r="A134">
        <v>2</v>
      </c>
    </row>
    <row r="135" spans="1:1" x14ac:dyDescent="0.25">
      <c r="A135">
        <v>2</v>
      </c>
    </row>
    <row r="136" spans="1:1" x14ac:dyDescent="0.25">
      <c r="A136">
        <v>2</v>
      </c>
    </row>
    <row r="137" spans="1:1" x14ac:dyDescent="0.25">
      <c r="A137">
        <v>1</v>
      </c>
    </row>
    <row r="138" spans="1:1" x14ac:dyDescent="0.25">
      <c r="A138">
        <v>3</v>
      </c>
    </row>
    <row r="139" spans="1:1" x14ac:dyDescent="0.25">
      <c r="A139">
        <v>2</v>
      </c>
    </row>
    <row r="140" spans="1:1" x14ac:dyDescent="0.25">
      <c r="A140">
        <v>2</v>
      </c>
    </row>
    <row r="141" spans="1:1" x14ac:dyDescent="0.25">
      <c r="A141">
        <v>1</v>
      </c>
    </row>
    <row r="142" spans="1:1" x14ac:dyDescent="0.25">
      <c r="A142">
        <v>1</v>
      </c>
    </row>
    <row r="143" spans="1:1" x14ac:dyDescent="0.25">
      <c r="A143">
        <v>2</v>
      </c>
    </row>
    <row r="144" spans="1:1" x14ac:dyDescent="0.25">
      <c r="A144">
        <v>2</v>
      </c>
    </row>
    <row r="145" spans="1:1" x14ac:dyDescent="0.25">
      <c r="A145">
        <v>3</v>
      </c>
    </row>
    <row r="146" spans="1:1" x14ac:dyDescent="0.25">
      <c r="A146">
        <v>1</v>
      </c>
    </row>
    <row r="147" spans="1:1" x14ac:dyDescent="0.25">
      <c r="A147">
        <v>1</v>
      </c>
    </row>
    <row r="148" spans="1:1" x14ac:dyDescent="0.25">
      <c r="A148">
        <v>1</v>
      </c>
    </row>
    <row r="149" spans="1:1" x14ac:dyDescent="0.25">
      <c r="A149">
        <v>1</v>
      </c>
    </row>
    <row r="150" spans="1:1" x14ac:dyDescent="0.25">
      <c r="A150"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5CA55-7498-423F-A174-F29CF62D0D06}">
  <dimension ref="A1:J50"/>
  <sheetViews>
    <sheetView zoomScale="207" workbookViewId="0">
      <selection activeCell="C11" sqref="C11"/>
    </sheetView>
  </sheetViews>
  <sheetFormatPr defaultRowHeight="15" x14ac:dyDescent="0.25"/>
  <cols>
    <col min="4" max="4" width="12.140625" customWidth="1"/>
    <col min="6" max="6" width="20.28515625" customWidth="1"/>
  </cols>
  <sheetData>
    <row r="1" spans="1:10" x14ac:dyDescent="0.25">
      <c r="A1">
        <v>2.89</v>
      </c>
      <c r="C1" t="s">
        <v>51</v>
      </c>
      <c r="G1" t="s">
        <v>2</v>
      </c>
    </row>
    <row r="2" spans="1:10" x14ac:dyDescent="0.25">
      <c r="A2">
        <v>2.94</v>
      </c>
      <c r="C2" t="s">
        <v>48</v>
      </c>
      <c r="D2">
        <f>INT(LOG(50,2))+1</f>
        <v>6</v>
      </c>
      <c r="G2">
        <f>COUNT(A1:A50)</f>
        <v>50</v>
      </c>
    </row>
    <row r="3" spans="1:10" x14ac:dyDescent="0.25">
      <c r="A3">
        <v>3.4</v>
      </c>
    </row>
    <row r="4" spans="1:10" x14ac:dyDescent="0.25">
      <c r="A4">
        <v>3.45</v>
      </c>
      <c r="C4" t="s">
        <v>32</v>
      </c>
      <c r="D4">
        <f>MIN(A1:A50)</f>
        <v>2.56</v>
      </c>
    </row>
    <row r="5" spans="1:10" x14ac:dyDescent="0.25">
      <c r="A5">
        <v>3.24</v>
      </c>
      <c r="C5" t="s">
        <v>33</v>
      </c>
      <c r="D5">
        <f>MAX(A1:A50)</f>
        <v>3.48</v>
      </c>
    </row>
    <row r="6" spans="1:10" x14ac:dyDescent="0.25">
      <c r="A6">
        <v>3.14</v>
      </c>
    </row>
    <row r="7" spans="1:10" x14ac:dyDescent="0.25">
      <c r="A7">
        <v>3.12</v>
      </c>
      <c r="C7" t="s">
        <v>52</v>
      </c>
    </row>
    <row r="8" spans="1:10" x14ac:dyDescent="0.25">
      <c r="A8">
        <v>3.03</v>
      </c>
      <c r="C8">
        <f>(D5-D4)/6</f>
        <v>0.15333333333333332</v>
      </c>
      <c r="E8" s="27">
        <v>0.16</v>
      </c>
    </row>
    <row r="9" spans="1:10" x14ac:dyDescent="0.25">
      <c r="A9">
        <v>3.28</v>
      </c>
    </row>
    <row r="10" spans="1:10" x14ac:dyDescent="0.25">
      <c r="A10">
        <v>3.12</v>
      </c>
      <c r="C10" t="s">
        <v>56</v>
      </c>
      <c r="F10" t="s">
        <v>4</v>
      </c>
    </row>
    <row r="11" spans="1:10" x14ac:dyDescent="0.25">
      <c r="A11">
        <v>3.21</v>
      </c>
      <c r="C11">
        <v>2.5499999999999998</v>
      </c>
      <c r="F11" s="8" t="s">
        <v>50</v>
      </c>
      <c r="G11" t="s">
        <v>6</v>
      </c>
      <c r="H11" t="s">
        <v>7</v>
      </c>
      <c r="I11" t="s">
        <v>8</v>
      </c>
      <c r="J11" t="s">
        <v>9</v>
      </c>
    </row>
    <row r="12" spans="1:10" x14ac:dyDescent="0.25">
      <c r="A12">
        <v>3.17</v>
      </c>
      <c r="C12">
        <f>C11+$E$8</f>
        <v>2.71</v>
      </c>
      <c r="F12" t="str">
        <f>CONCATENATE("]",C11,";",C12,"]")</f>
        <v>]2,55;2,71]</v>
      </c>
      <c r="G12">
        <f t="array" ref="G12:G17">FREQUENCY(A1:A50,C12:C17)</f>
        <v>3</v>
      </c>
      <c r="H12" s="5">
        <f>G12/50</f>
        <v>0.06</v>
      </c>
      <c r="I12">
        <f>G12</f>
        <v>3</v>
      </c>
      <c r="J12" s="24">
        <f>H12</f>
        <v>0.06</v>
      </c>
    </row>
    <row r="13" spans="1:10" x14ac:dyDescent="0.25">
      <c r="A13">
        <v>3.02</v>
      </c>
      <c r="C13">
        <f t="shared" ref="C13:C17" si="0">C12+$E$8</f>
        <v>2.87</v>
      </c>
      <c r="F13" t="str">
        <f t="shared" ref="F13:F17" si="1">CONCATENATE("]",C12,";",C13,"]")</f>
        <v>]2,71;2,87]</v>
      </c>
      <c r="G13">
        <v>8</v>
      </c>
      <c r="H13" s="5">
        <f t="shared" ref="H13:H17" si="2">G13/50</f>
        <v>0.16</v>
      </c>
      <c r="I13">
        <f>I12+G13</f>
        <v>11</v>
      </c>
      <c r="J13" s="24">
        <f>J12+H13</f>
        <v>0.22</v>
      </c>
    </row>
    <row r="14" spans="1:10" x14ac:dyDescent="0.25">
      <c r="A14">
        <v>2.94</v>
      </c>
      <c r="C14">
        <f t="shared" si="0"/>
        <v>3.0300000000000002</v>
      </c>
      <c r="F14" t="str">
        <f t="shared" si="1"/>
        <v>]2,87;3,03]</v>
      </c>
      <c r="G14">
        <v>19</v>
      </c>
      <c r="H14" s="5">
        <f t="shared" si="2"/>
        <v>0.38</v>
      </c>
      <c r="I14">
        <f t="shared" ref="I14:I17" si="3">I13+G14</f>
        <v>30</v>
      </c>
      <c r="J14" s="24">
        <f t="shared" ref="J14:J17" si="4">J13+H14</f>
        <v>0.6</v>
      </c>
    </row>
    <row r="15" spans="1:10" x14ac:dyDescent="0.25">
      <c r="A15">
        <v>3</v>
      </c>
      <c r="C15">
        <f t="shared" si="0"/>
        <v>3.1900000000000004</v>
      </c>
      <c r="F15" t="str">
        <f t="shared" si="1"/>
        <v>]3,03;3,19]</v>
      </c>
      <c r="G15">
        <v>8</v>
      </c>
      <c r="H15" s="5">
        <f t="shared" si="2"/>
        <v>0.16</v>
      </c>
      <c r="I15">
        <f t="shared" si="3"/>
        <v>38</v>
      </c>
      <c r="J15" s="24">
        <f t="shared" si="4"/>
        <v>0.76</v>
      </c>
    </row>
    <row r="16" spans="1:10" x14ac:dyDescent="0.25">
      <c r="A16">
        <v>2.72</v>
      </c>
      <c r="C16">
        <f t="shared" si="0"/>
        <v>3.3500000000000005</v>
      </c>
      <c r="F16" t="str">
        <f t="shared" si="1"/>
        <v>]3,19;3,35]</v>
      </c>
      <c r="G16">
        <v>9</v>
      </c>
      <c r="H16" s="5">
        <f t="shared" si="2"/>
        <v>0.18</v>
      </c>
      <c r="I16">
        <f t="shared" si="3"/>
        <v>47</v>
      </c>
      <c r="J16" s="24">
        <f t="shared" si="4"/>
        <v>0.94</v>
      </c>
    </row>
    <row r="17" spans="1:10" x14ac:dyDescent="0.25">
      <c r="A17">
        <v>3.01</v>
      </c>
      <c r="C17">
        <f t="shared" si="0"/>
        <v>3.5100000000000007</v>
      </c>
      <c r="F17" t="str">
        <f t="shared" si="1"/>
        <v>]3,35;3,51]</v>
      </c>
      <c r="G17">
        <v>3</v>
      </c>
      <c r="H17" s="5">
        <f t="shared" si="2"/>
        <v>0.06</v>
      </c>
      <c r="I17">
        <f t="shared" si="3"/>
        <v>50</v>
      </c>
      <c r="J17" s="24">
        <f t="shared" si="4"/>
        <v>1</v>
      </c>
    </row>
    <row r="18" spans="1:10" x14ac:dyDescent="0.25">
      <c r="A18">
        <v>2.96</v>
      </c>
      <c r="H18" s="24">
        <f>SUM(H12:H17)</f>
        <v>1</v>
      </c>
    </row>
    <row r="19" spans="1:10" x14ac:dyDescent="0.25">
      <c r="A19">
        <v>3</v>
      </c>
    </row>
    <row r="20" spans="1:10" x14ac:dyDescent="0.25">
      <c r="A20">
        <v>3.25</v>
      </c>
      <c r="C20" t="s">
        <v>55</v>
      </c>
    </row>
    <row r="21" spans="1:10" x14ac:dyDescent="0.25">
      <c r="A21">
        <v>2.73</v>
      </c>
    </row>
    <row r="22" spans="1:10" x14ac:dyDescent="0.25">
      <c r="A22">
        <v>2.86</v>
      </c>
    </row>
    <row r="23" spans="1:10" x14ac:dyDescent="0.25">
      <c r="A23">
        <v>2.99</v>
      </c>
    </row>
    <row r="24" spans="1:10" x14ac:dyDescent="0.25">
      <c r="A24">
        <v>2.97</v>
      </c>
    </row>
    <row r="25" spans="1:10" x14ac:dyDescent="0.25">
      <c r="A25">
        <v>3.48</v>
      </c>
    </row>
    <row r="26" spans="1:10" x14ac:dyDescent="0.25">
      <c r="A26">
        <v>2.96</v>
      </c>
    </row>
    <row r="27" spans="1:10" x14ac:dyDescent="0.25">
      <c r="A27">
        <v>2.57</v>
      </c>
    </row>
    <row r="28" spans="1:10" x14ac:dyDescent="0.25">
      <c r="A28">
        <v>2.87</v>
      </c>
    </row>
    <row r="29" spans="1:10" x14ac:dyDescent="0.25">
      <c r="A29">
        <v>3.24</v>
      </c>
    </row>
    <row r="30" spans="1:10" x14ac:dyDescent="0.25">
      <c r="A30">
        <v>2.88</v>
      </c>
    </row>
    <row r="31" spans="1:10" x14ac:dyDescent="0.25">
      <c r="A31">
        <v>3.19</v>
      </c>
    </row>
    <row r="32" spans="1:10" x14ac:dyDescent="0.25">
      <c r="A32">
        <v>2.7</v>
      </c>
    </row>
    <row r="33" spans="1:5" x14ac:dyDescent="0.25">
      <c r="A33">
        <v>3.26</v>
      </c>
    </row>
    <row r="34" spans="1:5" x14ac:dyDescent="0.25">
      <c r="A34">
        <v>2.96</v>
      </c>
    </row>
    <row r="35" spans="1:5" x14ac:dyDescent="0.25">
      <c r="A35">
        <v>2.94</v>
      </c>
    </row>
    <row r="36" spans="1:5" x14ac:dyDescent="0.25">
      <c r="A36">
        <v>3.14</v>
      </c>
    </row>
    <row r="37" spans="1:5" x14ac:dyDescent="0.25">
      <c r="A37">
        <v>3.21</v>
      </c>
      <c r="C37" t="s">
        <v>12</v>
      </c>
    </row>
    <row r="38" spans="1:5" x14ac:dyDescent="0.25">
      <c r="A38">
        <v>2.9</v>
      </c>
      <c r="C38" t="s">
        <v>17</v>
      </c>
      <c r="D38" t="s">
        <v>40</v>
      </c>
      <c r="E38" s="4">
        <f>AVERAGE(A1:A50)</f>
        <v>3.0215999999999998</v>
      </c>
    </row>
    <row r="39" spans="1:5" x14ac:dyDescent="0.25">
      <c r="A39">
        <v>2.79</v>
      </c>
      <c r="C39" t="s">
        <v>18</v>
      </c>
      <c r="D39" t="s">
        <v>54</v>
      </c>
      <c r="E39">
        <f>D5-D4</f>
        <v>0.91999999999999993</v>
      </c>
    </row>
    <row r="40" spans="1:5" x14ac:dyDescent="0.25">
      <c r="A40">
        <v>3.29</v>
      </c>
      <c r="D40" t="s">
        <v>43</v>
      </c>
      <c r="E40" s="21">
        <f>_xlfn.STDEV.S(A1:A50)</f>
        <v>0.20888782264406799</v>
      </c>
    </row>
    <row r="41" spans="1:5" x14ac:dyDescent="0.25">
      <c r="A41">
        <v>2.98</v>
      </c>
    </row>
    <row r="42" spans="1:5" x14ac:dyDescent="0.25">
      <c r="A42">
        <v>3.1</v>
      </c>
    </row>
    <row r="43" spans="1:5" x14ac:dyDescent="0.25">
      <c r="A43">
        <v>3.22</v>
      </c>
    </row>
    <row r="44" spans="1:5" x14ac:dyDescent="0.25">
      <c r="A44">
        <v>2.75</v>
      </c>
    </row>
    <row r="45" spans="1:5" x14ac:dyDescent="0.25">
      <c r="A45">
        <v>2.92</v>
      </c>
    </row>
    <row r="46" spans="1:5" x14ac:dyDescent="0.25">
      <c r="A46">
        <v>3.04</v>
      </c>
    </row>
    <row r="47" spans="1:5" x14ac:dyDescent="0.25">
      <c r="A47">
        <v>2.56</v>
      </c>
    </row>
    <row r="48" spans="1:5" x14ac:dyDescent="0.25">
      <c r="A48">
        <v>3.02</v>
      </c>
    </row>
    <row r="49" spans="1:1" x14ac:dyDescent="0.25">
      <c r="A49">
        <v>2.82</v>
      </c>
    </row>
    <row r="50" spans="1:1" x14ac:dyDescent="0.25">
      <c r="A50">
        <v>2.85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93829-139D-4907-9BD8-55F326CB8104}">
  <dimension ref="A1:K150"/>
  <sheetViews>
    <sheetView topLeftCell="A21" zoomScale="220" zoomScaleNormal="220" workbookViewId="0">
      <selection activeCell="E26" sqref="E26"/>
    </sheetView>
  </sheetViews>
  <sheetFormatPr defaultRowHeight="15" x14ac:dyDescent="0.25"/>
  <sheetData>
    <row r="1" spans="1:5" x14ac:dyDescent="0.25">
      <c r="A1" s="1">
        <v>2</v>
      </c>
    </row>
    <row r="2" spans="1:5" x14ac:dyDescent="0.25">
      <c r="A2" s="1">
        <v>1</v>
      </c>
    </row>
    <row r="3" spans="1:5" x14ac:dyDescent="0.25">
      <c r="A3" s="1">
        <v>0</v>
      </c>
    </row>
    <row r="4" spans="1:5" x14ac:dyDescent="0.25">
      <c r="A4" s="1">
        <v>0</v>
      </c>
    </row>
    <row r="5" spans="1:5" x14ac:dyDescent="0.25">
      <c r="A5" s="1">
        <v>1</v>
      </c>
    </row>
    <row r="6" spans="1:5" x14ac:dyDescent="0.25">
      <c r="A6" s="1">
        <v>4</v>
      </c>
    </row>
    <row r="7" spans="1:5" x14ac:dyDescent="0.25">
      <c r="A7" s="1">
        <v>0</v>
      </c>
    </row>
    <row r="8" spans="1:5" x14ac:dyDescent="0.25">
      <c r="A8" s="1">
        <v>1</v>
      </c>
    </row>
    <row r="9" spans="1:5" x14ac:dyDescent="0.25">
      <c r="A9" s="1">
        <v>3</v>
      </c>
    </row>
    <row r="10" spans="1:5" x14ac:dyDescent="0.25">
      <c r="A10" s="1">
        <v>0</v>
      </c>
    </row>
    <row r="11" spans="1:5" x14ac:dyDescent="0.25">
      <c r="A11" s="1">
        <v>2</v>
      </c>
    </row>
    <row r="12" spans="1:5" x14ac:dyDescent="0.25">
      <c r="A12" s="1">
        <v>2</v>
      </c>
    </row>
    <row r="13" spans="1:5" x14ac:dyDescent="0.25">
      <c r="A13" s="1">
        <v>2</v>
      </c>
    </row>
    <row r="14" spans="1:5" x14ac:dyDescent="0.25">
      <c r="A14" s="1">
        <v>0</v>
      </c>
    </row>
    <row r="15" spans="1:5" x14ac:dyDescent="0.25">
      <c r="A15" s="1">
        <v>1</v>
      </c>
      <c r="C15" t="s">
        <v>57</v>
      </c>
    </row>
    <row r="16" spans="1:5" x14ac:dyDescent="0.25">
      <c r="A16" s="1">
        <v>4</v>
      </c>
      <c r="C16" t="s">
        <v>2</v>
      </c>
      <c r="D16" t="s">
        <v>58</v>
      </c>
      <c r="E16">
        <f>COUNT(A1:A150)</f>
        <v>150</v>
      </c>
    </row>
    <row r="17" spans="1:11" ht="15.75" thickBot="1" x14ac:dyDescent="0.3">
      <c r="A17" s="1">
        <v>2</v>
      </c>
      <c r="K17" s="27" t="s">
        <v>12</v>
      </c>
    </row>
    <row r="18" spans="1:11" ht="15.75" thickBot="1" x14ac:dyDescent="0.3">
      <c r="A18" s="1">
        <v>1</v>
      </c>
      <c r="C18" s="27" t="s">
        <v>3</v>
      </c>
      <c r="I18" s="23" t="s">
        <v>25</v>
      </c>
      <c r="J18" s="23"/>
      <c r="K18" t="s">
        <v>60</v>
      </c>
    </row>
    <row r="19" spans="1:11" x14ac:dyDescent="0.25">
      <c r="A19" s="1">
        <v>2</v>
      </c>
      <c r="C19" s="43" t="s">
        <v>4</v>
      </c>
      <c r="D19" s="44"/>
      <c r="E19" s="44"/>
      <c r="F19" s="44"/>
      <c r="G19" s="45"/>
      <c r="K19" t="s">
        <v>62</v>
      </c>
    </row>
    <row r="20" spans="1:11" x14ac:dyDescent="0.25">
      <c r="A20" s="1">
        <v>3</v>
      </c>
      <c r="C20" s="28" t="s">
        <v>5</v>
      </c>
      <c r="D20" s="29" t="s">
        <v>6</v>
      </c>
      <c r="E20" s="29" t="s">
        <v>59</v>
      </c>
      <c r="F20" s="29" t="s">
        <v>8</v>
      </c>
      <c r="G20" s="30" t="s">
        <v>9</v>
      </c>
      <c r="I20" t="s">
        <v>15</v>
      </c>
      <c r="J20">
        <v>1.2533333333333334</v>
      </c>
      <c r="K20" t="s">
        <v>61</v>
      </c>
    </row>
    <row r="21" spans="1:11" x14ac:dyDescent="0.25">
      <c r="A21" s="1">
        <v>1</v>
      </c>
      <c r="C21" s="31">
        <v>0</v>
      </c>
      <c r="D21" s="32">
        <f>COUNTIF($A$1:$A$150,C21)</f>
        <v>64</v>
      </c>
      <c r="E21" s="33">
        <f>D21/150</f>
        <v>0.42666666666666669</v>
      </c>
      <c r="F21" s="32">
        <f>D21</f>
        <v>64</v>
      </c>
      <c r="G21" s="34">
        <f>E21</f>
        <v>0.42666666666666669</v>
      </c>
      <c r="I21" t="s">
        <v>26</v>
      </c>
      <c r="J21">
        <v>0.11240175095034753</v>
      </c>
      <c r="K21" t="s">
        <v>63</v>
      </c>
    </row>
    <row r="22" spans="1:11" x14ac:dyDescent="0.25">
      <c r="A22" s="1">
        <v>1</v>
      </c>
      <c r="C22" s="31">
        <v>1</v>
      </c>
      <c r="D22" s="32">
        <f t="shared" ref="D22:D26" si="0">COUNTIF($A$1:$A$150,C22)</f>
        <v>30</v>
      </c>
      <c r="E22" s="33">
        <f t="shared" ref="E22:E26" si="1">D22/150</f>
        <v>0.2</v>
      </c>
      <c r="F22" s="32">
        <f>F21+D22</f>
        <v>94</v>
      </c>
      <c r="G22" s="34">
        <f>G21+E22</f>
        <v>0.62666666666666671</v>
      </c>
      <c r="I22" t="s">
        <v>22</v>
      </c>
      <c r="J22">
        <v>1</v>
      </c>
      <c r="K22" s="7">
        <f>SUM(E23:E26)</f>
        <v>0.37333333333333329</v>
      </c>
    </row>
    <row r="23" spans="1:11" x14ac:dyDescent="0.25">
      <c r="A23" s="1">
        <v>1</v>
      </c>
      <c r="C23" s="31">
        <v>2</v>
      </c>
      <c r="D23" s="32">
        <f t="shared" si="0"/>
        <v>25</v>
      </c>
      <c r="E23" s="33">
        <f t="shared" si="1"/>
        <v>0.16666666666666666</v>
      </c>
      <c r="F23" s="32">
        <f>F22+D23</f>
        <v>119</v>
      </c>
      <c r="G23" s="34">
        <f t="shared" ref="G23:G26" si="2">G22+E23</f>
        <v>0.79333333333333333</v>
      </c>
      <c r="I23" t="s">
        <v>16</v>
      </c>
      <c r="J23">
        <v>0</v>
      </c>
      <c r="K23" t="s">
        <v>64</v>
      </c>
    </row>
    <row r="24" spans="1:11" x14ac:dyDescent="0.25">
      <c r="A24" s="1">
        <v>3</v>
      </c>
      <c r="C24" s="31">
        <v>3</v>
      </c>
      <c r="D24" s="32">
        <f t="shared" si="0"/>
        <v>18</v>
      </c>
      <c r="E24" s="33">
        <f t="shared" si="1"/>
        <v>0.12</v>
      </c>
      <c r="F24" s="32">
        <f t="shared" ref="F24:F26" si="3">F23+D24</f>
        <v>137</v>
      </c>
      <c r="G24" s="34">
        <f t="shared" si="2"/>
        <v>0.91333333333333333</v>
      </c>
      <c r="I24" t="s">
        <v>27</v>
      </c>
      <c r="J24">
        <v>1.3766346801187281</v>
      </c>
    </row>
    <row r="25" spans="1:11" x14ac:dyDescent="0.25">
      <c r="A25" s="1">
        <v>1</v>
      </c>
      <c r="C25" s="31">
        <v>4</v>
      </c>
      <c r="D25" s="32">
        <f t="shared" si="0"/>
        <v>11</v>
      </c>
      <c r="E25" s="33">
        <f t="shared" si="1"/>
        <v>7.3333333333333334E-2</v>
      </c>
      <c r="F25" s="32">
        <f t="shared" si="3"/>
        <v>148</v>
      </c>
      <c r="G25" s="34">
        <f t="shared" si="2"/>
        <v>0.98666666666666669</v>
      </c>
      <c r="I25" t="s">
        <v>28</v>
      </c>
      <c r="J25">
        <v>1.8951230425055929</v>
      </c>
    </row>
    <row r="26" spans="1:11" ht="15.75" thickBot="1" x14ac:dyDescent="0.3">
      <c r="A26" s="1">
        <v>3</v>
      </c>
      <c r="C26" s="35">
        <v>5</v>
      </c>
      <c r="D26" s="36">
        <f t="shared" si="0"/>
        <v>2</v>
      </c>
      <c r="E26" s="37">
        <f t="shared" si="1"/>
        <v>1.3333333333333334E-2</v>
      </c>
      <c r="F26" s="36">
        <f t="shared" si="3"/>
        <v>150</v>
      </c>
      <c r="G26" s="38">
        <f t="shared" si="2"/>
        <v>1</v>
      </c>
      <c r="I26" t="s">
        <v>29</v>
      </c>
      <c r="J26">
        <v>-0.42810972643876788</v>
      </c>
    </row>
    <row r="27" spans="1:11" x14ac:dyDescent="0.25">
      <c r="A27" s="1">
        <v>3</v>
      </c>
      <c r="D27">
        <f>SUM(D21:D26)</f>
        <v>150</v>
      </c>
      <c r="I27" t="s">
        <v>30</v>
      </c>
      <c r="J27">
        <v>0.81596688961013031</v>
      </c>
    </row>
    <row r="28" spans="1:11" x14ac:dyDescent="0.25">
      <c r="A28" s="1">
        <v>3</v>
      </c>
      <c r="I28" t="s">
        <v>31</v>
      </c>
      <c r="J28">
        <v>5</v>
      </c>
    </row>
    <row r="29" spans="1:11" x14ac:dyDescent="0.25">
      <c r="A29" s="1">
        <v>0</v>
      </c>
      <c r="C29" s="27" t="s">
        <v>10</v>
      </c>
      <c r="I29" t="s">
        <v>32</v>
      </c>
      <c r="J29">
        <v>0</v>
      </c>
    </row>
    <row r="30" spans="1:11" x14ac:dyDescent="0.25">
      <c r="A30" s="1">
        <v>0</v>
      </c>
      <c r="I30" t="s">
        <v>33</v>
      </c>
      <c r="J30">
        <v>5</v>
      </c>
    </row>
    <row r="31" spans="1:11" x14ac:dyDescent="0.25">
      <c r="A31" s="1">
        <v>3</v>
      </c>
      <c r="I31" t="s">
        <v>34</v>
      </c>
      <c r="J31">
        <v>188</v>
      </c>
    </row>
    <row r="32" spans="1:11" ht="15.75" thickBot="1" x14ac:dyDescent="0.3">
      <c r="A32" s="1">
        <v>1</v>
      </c>
      <c r="I32" s="22" t="s">
        <v>35</v>
      </c>
      <c r="J32" s="22">
        <v>150</v>
      </c>
    </row>
    <row r="33" spans="1:1" x14ac:dyDescent="0.25">
      <c r="A33" s="1">
        <v>1</v>
      </c>
    </row>
    <row r="34" spans="1:1" x14ac:dyDescent="0.25">
      <c r="A34" s="1">
        <v>2</v>
      </c>
    </row>
    <row r="35" spans="1:1" x14ac:dyDescent="0.25">
      <c r="A35" s="1">
        <v>0</v>
      </c>
    </row>
    <row r="36" spans="1:1" x14ac:dyDescent="0.25">
      <c r="A36" s="1">
        <v>1</v>
      </c>
    </row>
    <row r="37" spans="1:1" x14ac:dyDescent="0.25">
      <c r="A37" s="1">
        <v>2</v>
      </c>
    </row>
    <row r="38" spans="1:1" x14ac:dyDescent="0.25">
      <c r="A38" s="1">
        <v>3</v>
      </c>
    </row>
    <row r="39" spans="1:1" x14ac:dyDescent="0.25">
      <c r="A39" s="1">
        <v>0</v>
      </c>
    </row>
    <row r="40" spans="1:1" x14ac:dyDescent="0.25">
      <c r="A40" s="1">
        <v>2</v>
      </c>
    </row>
    <row r="41" spans="1:1" x14ac:dyDescent="0.25">
      <c r="A41" s="1">
        <v>2</v>
      </c>
    </row>
    <row r="42" spans="1:1" x14ac:dyDescent="0.25">
      <c r="A42" s="1">
        <v>0</v>
      </c>
    </row>
    <row r="43" spans="1:1" x14ac:dyDescent="0.25">
      <c r="A43" s="1">
        <v>5</v>
      </c>
    </row>
    <row r="44" spans="1:1" x14ac:dyDescent="0.25">
      <c r="A44" s="1">
        <v>1</v>
      </c>
    </row>
    <row r="45" spans="1:1" x14ac:dyDescent="0.25">
      <c r="A45" s="1">
        <v>4</v>
      </c>
    </row>
    <row r="46" spans="1:1" x14ac:dyDescent="0.25">
      <c r="A46" s="1">
        <v>0</v>
      </c>
    </row>
    <row r="47" spans="1:1" x14ac:dyDescent="0.25">
      <c r="A47" s="1">
        <v>0</v>
      </c>
    </row>
    <row r="48" spans="1:1" x14ac:dyDescent="0.25">
      <c r="A48" s="1">
        <v>0</v>
      </c>
    </row>
    <row r="49" spans="1:1" x14ac:dyDescent="0.25">
      <c r="A49" s="1">
        <v>0</v>
      </c>
    </row>
    <row r="50" spans="1:1" x14ac:dyDescent="0.25">
      <c r="A50" s="1">
        <v>3</v>
      </c>
    </row>
    <row r="51" spans="1:1" x14ac:dyDescent="0.25">
      <c r="A51" s="1">
        <v>2</v>
      </c>
    </row>
    <row r="52" spans="1:1" x14ac:dyDescent="0.25">
      <c r="A52" s="1">
        <v>0</v>
      </c>
    </row>
    <row r="53" spans="1:1" x14ac:dyDescent="0.25">
      <c r="A53" s="1">
        <v>0</v>
      </c>
    </row>
    <row r="54" spans="1:1" x14ac:dyDescent="0.25">
      <c r="A54" s="1">
        <v>0</v>
      </c>
    </row>
    <row r="55" spans="1:1" x14ac:dyDescent="0.25">
      <c r="A55" s="1">
        <v>1</v>
      </c>
    </row>
    <row r="56" spans="1:1" x14ac:dyDescent="0.25">
      <c r="A56" s="1">
        <v>0</v>
      </c>
    </row>
    <row r="57" spans="1:1" x14ac:dyDescent="0.25">
      <c r="A57" s="1">
        <v>1</v>
      </c>
    </row>
    <row r="58" spans="1:1" x14ac:dyDescent="0.25">
      <c r="A58" s="1">
        <v>0</v>
      </c>
    </row>
    <row r="59" spans="1:1" x14ac:dyDescent="0.25">
      <c r="A59" s="1">
        <v>1</v>
      </c>
    </row>
    <row r="60" spans="1:1" x14ac:dyDescent="0.25">
      <c r="A60" s="1">
        <v>0</v>
      </c>
    </row>
    <row r="61" spans="1:1" x14ac:dyDescent="0.25">
      <c r="A61" s="1">
        <v>2</v>
      </c>
    </row>
    <row r="62" spans="1:1" x14ac:dyDescent="0.25">
      <c r="A62" s="1">
        <v>0</v>
      </c>
    </row>
    <row r="63" spans="1:1" x14ac:dyDescent="0.25">
      <c r="A63" s="1">
        <v>2</v>
      </c>
    </row>
    <row r="64" spans="1:1" x14ac:dyDescent="0.25">
      <c r="A64" s="1">
        <v>0</v>
      </c>
    </row>
    <row r="65" spans="1:1" x14ac:dyDescent="0.25">
      <c r="A65" s="1">
        <v>0</v>
      </c>
    </row>
    <row r="66" spans="1:1" x14ac:dyDescent="0.25">
      <c r="A66" s="1">
        <v>2</v>
      </c>
    </row>
    <row r="67" spans="1:1" x14ac:dyDescent="0.25">
      <c r="A67" s="1">
        <v>0</v>
      </c>
    </row>
    <row r="68" spans="1:1" x14ac:dyDescent="0.25">
      <c r="A68" s="1">
        <v>0</v>
      </c>
    </row>
    <row r="69" spans="1:1" x14ac:dyDescent="0.25">
      <c r="A69" s="1">
        <v>4</v>
      </c>
    </row>
    <row r="70" spans="1:1" x14ac:dyDescent="0.25">
      <c r="A70" s="1">
        <v>2</v>
      </c>
    </row>
    <row r="71" spans="1:1" x14ac:dyDescent="0.25">
      <c r="A71" s="1">
        <v>1</v>
      </c>
    </row>
    <row r="72" spans="1:1" x14ac:dyDescent="0.25">
      <c r="A72" s="1">
        <v>0</v>
      </c>
    </row>
    <row r="73" spans="1:1" x14ac:dyDescent="0.25">
      <c r="A73" s="1">
        <v>4</v>
      </c>
    </row>
    <row r="74" spans="1:1" x14ac:dyDescent="0.25">
      <c r="A74" s="1">
        <v>0</v>
      </c>
    </row>
    <row r="75" spans="1:1" x14ac:dyDescent="0.25">
      <c r="A75" s="1">
        <v>0</v>
      </c>
    </row>
    <row r="76" spans="1:1" x14ac:dyDescent="0.25">
      <c r="A76" s="1">
        <v>0</v>
      </c>
    </row>
    <row r="77" spans="1:1" x14ac:dyDescent="0.25">
      <c r="A77" s="1">
        <v>0</v>
      </c>
    </row>
    <row r="78" spans="1:1" x14ac:dyDescent="0.25">
      <c r="A78" s="1">
        <v>0</v>
      </c>
    </row>
    <row r="79" spans="1:1" x14ac:dyDescent="0.25">
      <c r="A79" s="1">
        <v>0</v>
      </c>
    </row>
    <row r="80" spans="1:1" x14ac:dyDescent="0.25">
      <c r="A80" s="1">
        <v>3</v>
      </c>
    </row>
    <row r="81" spans="1:1" x14ac:dyDescent="0.25">
      <c r="A81" s="1">
        <v>2</v>
      </c>
    </row>
    <row r="82" spans="1:1" x14ac:dyDescent="0.25">
      <c r="A82" s="1">
        <v>3</v>
      </c>
    </row>
    <row r="83" spans="1:1" x14ac:dyDescent="0.25">
      <c r="A83" s="1">
        <v>3</v>
      </c>
    </row>
    <row r="84" spans="1:1" x14ac:dyDescent="0.25">
      <c r="A84" s="1">
        <v>4</v>
      </c>
    </row>
    <row r="85" spans="1:1" x14ac:dyDescent="0.25">
      <c r="A85" s="1">
        <v>1</v>
      </c>
    </row>
    <row r="86" spans="1:1" x14ac:dyDescent="0.25">
      <c r="A86" s="1">
        <v>4</v>
      </c>
    </row>
    <row r="87" spans="1:1" x14ac:dyDescent="0.25">
      <c r="A87" s="1">
        <v>0</v>
      </c>
    </row>
    <row r="88" spans="1:1" x14ac:dyDescent="0.25">
      <c r="A88" s="1">
        <v>0</v>
      </c>
    </row>
    <row r="89" spans="1:1" x14ac:dyDescent="0.25">
      <c r="A89" s="1">
        <v>0</v>
      </c>
    </row>
    <row r="90" spans="1:1" x14ac:dyDescent="0.25">
      <c r="A90" s="1">
        <v>2</v>
      </c>
    </row>
    <row r="91" spans="1:1" x14ac:dyDescent="0.25">
      <c r="A91" s="1">
        <v>0</v>
      </c>
    </row>
    <row r="92" spans="1:1" x14ac:dyDescent="0.25">
      <c r="A92" s="1">
        <v>2</v>
      </c>
    </row>
    <row r="93" spans="1:1" x14ac:dyDescent="0.25">
      <c r="A93" s="1">
        <v>2</v>
      </c>
    </row>
    <row r="94" spans="1:1" x14ac:dyDescent="0.25">
      <c r="A94" s="1">
        <v>2</v>
      </c>
    </row>
    <row r="95" spans="1:1" x14ac:dyDescent="0.25">
      <c r="A95" s="1">
        <v>4</v>
      </c>
    </row>
    <row r="96" spans="1:1" x14ac:dyDescent="0.25">
      <c r="A96" s="1">
        <v>4</v>
      </c>
    </row>
    <row r="97" spans="1:1" x14ac:dyDescent="0.25">
      <c r="A97" s="1">
        <v>0</v>
      </c>
    </row>
    <row r="98" spans="1:1" x14ac:dyDescent="0.25">
      <c r="A98" s="1">
        <v>3</v>
      </c>
    </row>
    <row r="99" spans="1:1" x14ac:dyDescent="0.25">
      <c r="A99" s="1">
        <v>0</v>
      </c>
    </row>
    <row r="100" spans="1:1" x14ac:dyDescent="0.25">
      <c r="A100" s="1">
        <v>3</v>
      </c>
    </row>
    <row r="101" spans="1:1" x14ac:dyDescent="0.25">
      <c r="A101" s="1">
        <v>0</v>
      </c>
    </row>
    <row r="102" spans="1:1" x14ac:dyDescent="0.25">
      <c r="A102" s="1">
        <v>3</v>
      </c>
    </row>
    <row r="103" spans="1:1" x14ac:dyDescent="0.25">
      <c r="A103" s="1">
        <v>3</v>
      </c>
    </row>
    <row r="104" spans="1:1" x14ac:dyDescent="0.25">
      <c r="A104" s="1">
        <v>0</v>
      </c>
    </row>
    <row r="105" spans="1:1" x14ac:dyDescent="0.25">
      <c r="A105" s="1">
        <v>0</v>
      </c>
    </row>
    <row r="106" spans="1:1" x14ac:dyDescent="0.25">
      <c r="A106" s="1">
        <v>1</v>
      </c>
    </row>
    <row r="107" spans="1:1" x14ac:dyDescent="0.25">
      <c r="A107" s="1">
        <v>1</v>
      </c>
    </row>
    <row r="108" spans="1:1" x14ac:dyDescent="0.25">
      <c r="A108" s="1">
        <v>1</v>
      </c>
    </row>
    <row r="109" spans="1:1" x14ac:dyDescent="0.25">
      <c r="A109" s="1">
        <v>1</v>
      </c>
    </row>
    <row r="110" spans="1:1" x14ac:dyDescent="0.25">
      <c r="A110" s="1">
        <v>2</v>
      </c>
    </row>
    <row r="111" spans="1:1" x14ac:dyDescent="0.25">
      <c r="A111" s="1">
        <v>0</v>
      </c>
    </row>
    <row r="112" spans="1:1" x14ac:dyDescent="0.25">
      <c r="A112" s="1">
        <v>2</v>
      </c>
    </row>
    <row r="113" spans="1:1" x14ac:dyDescent="0.25">
      <c r="A113" s="1">
        <v>0</v>
      </c>
    </row>
    <row r="114" spans="1:1" x14ac:dyDescent="0.25">
      <c r="A114" s="1">
        <v>0</v>
      </c>
    </row>
    <row r="115" spans="1:1" x14ac:dyDescent="0.25">
      <c r="A115" s="1">
        <v>1</v>
      </c>
    </row>
    <row r="116" spans="1:1" x14ac:dyDescent="0.25">
      <c r="A116" s="1">
        <v>3</v>
      </c>
    </row>
    <row r="117" spans="1:1" x14ac:dyDescent="0.25">
      <c r="A117" s="1">
        <v>1</v>
      </c>
    </row>
    <row r="118" spans="1:1" x14ac:dyDescent="0.25">
      <c r="A118" s="1">
        <v>0</v>
      </c>
    </row>
    <row r="119" spans="1:1" x14ac:dyDescent="0.25">
      <c r="A119" s="1">
        <v>3</v>
      </c>
    </row>
    <row r="120" spans="1:1" x14ac:dyDescent="0.25">
      <c r="A120" s="1">
        <v>0</v>
      </c>
    </row>
    <row r="121" spans="1:1" x14ac:dyDescent="0.25">
      <c r="A121" s="1">
        <v>0</v>
      </c>
    </row>
    <row r="122" spans="1:1" x14ac:dyDescent="0.25">
      <c r="A122" s="1">
        <v>0</v>
      </c>
    </row>
    <row r="123" spans="1:1" x14ac:dyDescent="0.25">
      <c r="A123" s="1">
        <v>2</v>
      </c>
    </row>
    <row r="124" spans="1:1" x14ac:dyDescent="0.25">
      <c r="A124" s="1">
        <v>0</v>
      </c>
    </row>
    <row r="125" spans="1:1" x14ac:dyDescent="0.25">
      <c r="A125" s="1">
        <v>1</v>
      </c>
    </row>
    <row r="126" spans="1:1" x14ac:dyDescent="0.25">
      <c r="A126" s="1">
        <v>0</v>
      </c>
    </row>
    <row r="127" spans="1:1" x14ac:dyDescent="0.25">
      <c r="A127" s="1">
        <v>0</v>
      </c>
    </row>
    <row r="128" spans="1:1" x14ac:dyDescent="0.25">
      <c r="A128" s="1">
        <v>0</v>
      </c>
    </row>
    <row r="129" spans="1:1" x14ac:dyDescent="0.25">
      <c r="A129" s="1">
        <v>1</v>
      </c>
    </row>
    <row r="130" spans="1:1" x14ac:dyDescent="0.25">
      <c r="A130" s="1">
        <v>0</v>
      </c>
    </row>
    <row r="131" spans="1:1" x14ac:dyDescent="0.25">
      <c r="A131" s="1">
        <v>0</v>
      </c>
    </row>
    <row r="132" spans="1:1" x14ac:dyDescent="0.25">
      <c r="A132" s="1">
        <v>1</v>
      </c>
    </row>
    <row r="133" spans="1:1" x14ac:dyDescent="0.25">
      <c r="A133" s="1">
        <v>4</v>
      </c>
    </row>
    <row r="134" spans="1:1" x14ac:dyDescent="0.25">
      <c r="A134" s="1">
        <v>0</v>
      </c>
    </row>
    <row r="135" spans="1:1" x14ac:dyDescent="0.25">
      <c r="A135" s="1">
        <v>4</v>
      </c>
    </row>
    <row r="136" spans="1:1" x14ac:dyDescent="0.25">
      <c r="A136" s="1">
        <v>5</v>
      </c>
    </row>
    <row r="137" spans="1:1" x14ac:dyDescent="0.25">
      <c r="A137" s="1">
        <v>0</v>
      </c>
    </row>
    <row r="138" spans="1:1" x14ac:dyDescent="0.25">
      <c r="A138" s="1">
        <v>0</v>
      </c>
    </row>
    <row r="139" spans="1:1" x14ac:dyDescent="0.25">
      <c r="A139" s="1">
        <v>0</v>
      </c>
    </row>
    <row r="140" spans="1:1" x14ac:dyDescent="0.25">
      <c r="A140" s="1">
        <v>0</v>
      </c>
    </row>
    <row r="141" spans="1:1" x14ac:dyDescent="0.25">
      <c r="A141" s="1">
        <v>0</v>
      </c>
    </row>
    <row r="142" spans="1:1" x14ac:dyDescent="0.25">
      <c r="A142" s="1">
        <v>0</v>
      </c>
    </row>
    <row r="143" spans="1:1" x14ac:dyDescent="0.25">
      <c r="A143" s="1">
        <v>1</v>
      </c>
    </row>
    <row r="144" spans="1:1" x14ac:dyDescent="0.25">
      <c r="A144" s="1">
        <v>0</v>
      </c>
    </row>
    <row r="145" spans="1:1" x14ac:dyDescent="0.25">
      <c r="A145" s="1">
        <v>1</v>
      </c>
    </row>
    <row r="146" spans="1:1" x14ac:dyDescent="0.25">
      <c r="A146" s="1">
        <v>0</v>
      </c>
    </row>
    <row r="147" spans="1:1" x14ac:dyDescent="0.25">
      <c r="A147" s="1">
        <v>2</v>
      </c>
    </row>
    <row r="148" spans="1:1" x14ac:dyDescent="0.25">
      <c r="A148" s="1">
        <v>1</v>
      </c>
    </row>
    <row r="149" spans="1:1" x14ac:dyDescent="0.25">
      <c r="A149" s="1">
        <v>2</v>
      </c>
    </row>
    <row r="150" spans="1:1" x14ac:dyDescent="0.25">
      <c r="A150" s="1">
        <v>0</v>
      </c>
    </row>
  </sheetData>
  <mergeCells count="1">
    <mergeCell ref="C19:G1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64856-52C5-42A7-830C-A6C02F074F3B}">
  <dimension ref="A1:J140"/>
  <sheetViews>
    <sheetView topLeftCell="C23" zoomScale="328" zoomScaleNormal="328" workbookViewId="0">
      <selection activeCell="D27" sqref="D27"/>
    </sheetView>
  </sheetViews>
  <sheetFormatPr defaultRowHeight="15" x14ac:dyDescent="0.25"/>
  <cols>
    <col min="5" max="5" width="9.7109375" customWidth="1"/>
  </cols>
  <sheetData>
    <row r="1" spans="1:9" x14ac:dyDescent="0.25">
      <c r="A1" s="2">
        <v>5.87</v>
      </c>
      <c r="C1" t="s">
        <v>65</v>
      </c>
    </row>
    <row r="2" spans="1:9" x14ac:dyDescent="0.25">
      <c r="A2" s="2">
        <v>5.54</v>
      </c>
    </row>
    <row r="3" spans="1:9" x14ac:dyDescent="0.25">
      <c r="A3" s="2">
        <v>5.91</v>
      </c>
      <c r="C3" t="s">
        <v>2</v>
      </c>
      <c r="E3" t="s">
        <v>58</v>
      </c>
      <c r="F3">
        <v>140</v>
      </c>
    </row>
    <row r="4" spans="1:9" x14ac:dyDescent="0.25">
      <c r="A4" s="2">
        <v>4.3099999999999996</v>
      </c>
    </row>
    <row r="5" spans="1:9" x14ac:dyDescent="0.25">
      <c r="A5" s="2">
        <v>4.66</v>
      </c>
      <c r="C5" t="s">
        <v>51</v>
      </c>
    </row>
    <row r="6" spans="1:9" x14ac:dyDescent="0.25">
      <c r="A6" s="2">
        <v>5.09</v>
      </c>
      <c r="C6" t="s">
        <v>66</v>
      </c>
      <c r="D6">
        <f>INT(LOG(140,2))+1</f>
        <v>8</v>
      </c>
    </row>
    <row r="7" spans="1:9" x14ac:dyDescent="0.25">
      <c r="A7" s="2">
        <v>5.58</v>
      </c>
    </row>
    <row r="8" spans="1:9" x14ac:dyDescent="0.25">
      <c r="A8" s="2">
        <v>4.5</v>
      </c>
      <c r="C8" t="s">
        <v>67</v>
      </c>
    </row>
    <row r="9" spans="1:9" x14ac:dyDescent="0.25">
      <c r="A9" s="2">
        <v>5.79</v>
      </c>
      <c r="B9" t="s">
        <v>32</v>
      </c>
      <c r="C9">
        <f>MIN(A1:A140)</f>
        <v>4.0199999999999996</v>
      </c>
      <c r="E9" t="s">
        <v>68</v>
      </c>
    </row>
    <row r="10" spans="1:9" x14ac:dyDescent="0.25">
      <c r="A10" s="2">
        <v>4.66</v>
      </c>
      <c r="B10" t="s">
        <v>33</v>
      </c>
      <c r="C10">
        <f>MAX(A1:A140)</f>
        <v>5.98</v>
      </c>
      <c r="E10">
        <f>(C10-C9)/8</f>
        <v>0.24500000000000011</v>
      </c>
    </row>
    <row r="11" spans="1:9" x14ac:dyDescent="0.25">
      <c r="A11" s="2">
        <v>4.83</v>
      </c>
      <c r="D11" t="s">
        <v>69</v>
      </c>
      <c r="E11">
        <v>0.25</v>
      </c>
    </row>
    <row r="12" spans="1:9" x14ac:dyDescent="0.25">
      <c r="A12" s="2">
        <v>5.38</v>
      </c>
    </row>
    <row r="13" spans="1:9" x14ac:dyDescent="0.25">
      <c r="A13" s="2">
        <v>5.51</v>
      </c>
      <c r="C13" t="s">
        <v>70</v>
      </c>
    </row>
    <row r="14" spans="1:9" x14ac:dyDescent="0.25">
      <c r="A14" s="2">
        <v>5.26</v>
      </c>
    </row>
    <row r="15" spans="1:9" x14ac:dyDescent="0.25">
      <c r="A15" s="2">
        <v>5.6</v>
      </c>
      <c r="C15">
        <v>4.01</v>
      </c>
      <c r="E15" s="46" t="s">
        <v>4</v>
      </c>
      <c r="F15" s="46"/>
      <c r="G15" s="46"/>
      <c r="H15" s="46"/>
      <c r="I15" s="46"/>
    </row>
    <row r="16" spans="1:9" x14ac:dyDescent="0.25">
      <c r="A16" s="2">
        <v>4.21</v>
      </c>
      <c r="C16">
        <f>C15+0.25</f>
        <v>4.26</v>
      </c>
      <c r="E16" t="s">
        <v>50</v>
      </c>
      <c r="F16" t="s">
        <v>6</v>
      </c>
      <c r="G16" t="s">
        <v>7</v>
      </c>
      <c r="H16" t="s">
        <v>8</v>
      </c>
      <c r="I16" t="s">
        <v>9</v>
      </c>
    </row>
    <row r="17" spans="1:10" x14ac:dyDescent="0.25">
      <c r="A17" s="2">
        <v>4.6900000000000004</v>
      </c>
      <c r="C17">
        <f t="shared" ref="C17:C23" si="0">C16+0.25</f>
        <v>4.51</v>
      </c>
      <c r="E17" t="str">
        <f>CONCATENATE("]",C15,";",C16,"]")</f>
        <v>]4,01;4,26]</v>
      </c>
      <c r="F17">
        <f t="array" ref="F17:F24">FREQUENCY(A1:A140,C16:C23)</f>
        <v>20</v>
      </c>
      <c r="G17" s="6">
        <f>F17/140</f>
        <v>0.14285714285714285</v>
      </c>
      <c r="H17">
        <f>F17</f>
        <v>20</v>
      </c>
      <c r="I17" s="7">
        <f>G17</f>
        <v>0.14285714285714285</v>
      </c>
    </row>
    <row r="18" spans="1:10" x14ac:dyDescent="0.25">
      <c r="A18" s="2">
        <v>5.7</v>
      </c>
      <c r="C18">
        <f t="shared" si="0"/>
        <v>4.76</v>
      </c>
      <c r="E18" t="str">
        <f t="shared" ref="E18:E24" si="1">CONCATENATE("]",C16,";",C17,"]")</f>
        <v>]4,26;4,51]</v>
      </c>
      <c r="F18">
        <v>17</v>
      </c>
      <c r="G18" s="6">
        <f t="shared" ref="G18:G24" si="2">F18/140</f>
        <v>0.12142857142857143</v>
      </c>
      <c r="H18">
        <f>H17+F18</f>
        <v>37</v>
      </c>
      <c r="I18" s="7">
        <f>I17+G18</f>
        <v>0.26428571428571429</v>
      </c>
    </row>
    <row r="19" spans="1:10" x14ac:dyDescent="0.25">
      <c r="A19" s="2">
        <v>5.44</v>
      </c>
      <c r="C19">
        <f t="shared" si="0"/>
        <v>5.01</v>
      </c>
      <c r="E19" t="str">
        <f t="shared" si="1"/>
        <v>]4,51;4,76]</v>
      </c>
      <c r="F19">
        <v>17</v>
      </c>
      <c r="G19" s="6">
        <f t="shared" si="2"/>
        <v>0.12142857142857143</v>
      </c>
      <c r="H19">
        <f t="shared" ref="H19:H24" si="3">H18+F19</f>
        <v>54</v>
      </c>
      <c r="I19" s="7">
        <f t="shared" ref="I19:I24" si="4">I18+G19</f>
        <v>0.38571428571428573</v>
      </c>
    </row>
    <row r="20" spans="1:10" x14ac:dyDescent="0.25">
      <c r="A20" s="2">
        <v>5.58</v>
      </c>
      <c r="C20">
        <f t="shared" si="0"/>
        <v>5.26</v>
      </c>
      <c r="E20" t="str">
        <f t="shared" si="1"/>
        <v>]4,76;5,01]</v>
      </c>
      <c r="F20">
        <v>18</v>
      </c>
      <c r="G20" s="6">
        <f t="shared" si="2"/>
        <v>0.12857142857142856</v>
      </c>
      <c r="H20">
        <f t="shared" si="3"/>
        <v>72</v>
      </c>
      <c r="I20" s="7">
        <f t="shared" si="4"/>
        <v>0.51428571428571423</v>
      </c>
    </row>
    <row r="21" spans="1:10" x14ac:dyDescent="0.25">
      <c r="A21" s="2">
        <v>5.95</v>
      </c>
      <c r="C21">
        <f t="shared" si="0"/>
        <v>5.51</v>
      </c>
      <c r="E21" t="str">
        <f t="shared" si="1"/>
        <v>]5,01;5,26]</v>
      </c>
      <c r="F21">
        <v>19</v>
      </c>
      <c r="G21" s="6">
        <f t="shared" si="2"/>
        <v>0.1357142857142857</v>
      </c>
      <c r="H21">
        <f t="shared" si="3"/>
        <v>91</v>
      </c>
      <c r="I21" s="7">
        <f t="shared" si="4"/>
        <v>0.64999999999999991</v>
      </c>
    </row>
    <row r="22" spans="1:10" x14ac:dyDescent="0.25">
      <c r="A22" s="2">
        <v>5.98</v>
      </c>
      <c r="C22">
        <f t="shared" si="0"/>
        <v>5.76</v>
      </c>
      <c r="E22" t="str">
        <f t="shared" si="1"/>
        <v>]5,26;5,51]</v>
      </c>
      <c r="F22">
        <v>18</v>
      </c>
      <c r="G22" s="6">
        <f t="shared" si="2"/>
        <v>0.12857142857142856</v>
      </c>
      <c r="H22">
        <f t="shared" si="3"/>
        <v>109</v>
      </c>
      <c r="I22" s="7">
        <f t="shared" si="4"/>
        <v>0.77857142857142847</v>
      </c>
    </row>
    <row r="23" spans="1:10" x14ac:dyDescent="0.25">
      <c r="A23" s="2">
        <v>5.0199999999999996</v>
      </c>
      <c r="C23">
        <f t="shared" si="0"/>
        <v>6.01</v>
      </c>
      <c r="E23" t="str">
        <f t="shared" si="1"/>
        <v>]5,51;5,76]</v>
      </c>
      <c r="F23">
        <v>19</v>
      </c>
      <c r="G23" s="6">
        <f t="shared" si="2"/>
        <v>0.1357142857142857</v>
      </c>
      <c r="H23">
        <f t="shared" si="3"/>
        <v>128</v>
      </c>
      <c r="I23" s="7">
        <f t="shared" si="4"/>
        <v>0.91428571428571415</v>
      </c>
    </row>
    <row r="24" spans="1:10" x14ac:dyDescent="0.25">
      <c r="A24" s="2">
        <v>5.16</v>
      </c>
      <c r="E24" t="str">
        <f t="shared" si="1"/>
        <v>]5,76;6,01]</v>
      </c>
      <c r="F24">
        <v>12</v>
      </c>
      <c r="G24" s="6">
        <f t="shared" si="2"/>
        <v>8.5714285714285715E-2</v>
      </c>
      <c r="H24">
        <f t="shared" si="3"/>
        <v>140</v>
      </c>
      <c r="I24" s="7">
        <f t="shared" si="4"/>
        <v>0.99999999999999989</v>
      </c>
    </row>
    <row r="25" spans="1:10" ht="15.75" thickBot="1" x14ac:dyDescent="0.3">
      <c r="A25" s="2">
        <v>4.83</v>
      </c>
      <c r="F25">
        <f>SUM(F17:F24)</f>
        <v>140</v>
      </c>
    </row>
    <row r="26" spans="1:10" x14ac:dyDescent="0.25">
      <c r="A26" s="2">
        <v>5.58</v>
      </c>
      <c r="C26" s="27" t="s">
        <v>10</v>
      </c>
      <c r="I26" s="23" t="s">
        <v>25</v>
      </c>
      <c r="J26" s="23"/>
    </row>
    <row r="27" spans="1:10" x14ac:dyDescent="0.25">
      <c r="A27" s="2">
        <v>4.5599999999999996</v>
      </c>
      <c r="C27" t="s">
        <v>17</v>
      </c>
      <c r="D27">
        <f>MODE(A1:A140)</f>
        <v>4.12</v>
      </c>
    </row>
    <row r="28" spans="1:10" x14ac:dyDescent="0.25">
      <c r="A28" s="2">
        <v>4.6900000000000004</v>
      </c>
      <c r="C28" t="s">
        <v>18</v>
      </c>
      <c r="D28" s="21">
        <f>_xlfn.VAR.S(A1:A140)</f>
        <v>0.33013613052413254</v>
      </c>
      <c r="I28" t="s">
        <v>15</v>
      </c>
      <c r="J28">
        <v>4.971642857142859</v>
      </c>
    </row>
    <row r="29" spans="1:10" x14ac:dyDescent="0.25">
      <c r="A29" s="2">
        <v>4.1100000000000003</v>
      </c>
      <c r="C29" t="s">
        <v>21</v>
      </c>
      <c r="D29">
        <v>4.97</v>
      </c>
      <c r="I29" t="s">
        <v>26</v>
      </c>
      <c r="J29">
        <v>4.8560428519829994E-2</v>
      </c>
    </row>
    <row r="30" spans="1:10" x14ac:dyDescent="0.25">
      <c r="A30" s="2">
        <v>4.91</v>
      </c>
      <c r="I30" t="s">
        <v>22</v>
      </c>
      <c r="J30">
        <v>4.9649999999999999</v>
      </c>
    </row>
    <row r="31" spans="1:10" x14ac:dyDescent="0.25">
      <c r="A31" s="2">
        <v>5.12</v>
      </c>
      <c r="I31" t="s">
        <v>16</v>
      </c>
      <c r="J31">
        <v>4.12</v>
      </c>
    </row>
    <row r="32" spans="1:10" x14ac:dyDescent="0.25">
      <c r="A32" s="2">
        <v>4.2</v>
      </c>
      <c r="I32" t="s">
        <v>27</v>
      </c>
      <c r="J32">
        <v>0.5745747388496405</v>
      </c>
    </row>
    <row r="33" spans="1:10" x14ac:dyDescent="0.25">
      <c r="A33" s="2">
        <v>5.08</v>
      </c>
      <c r="I33" t="s">
        <v>28</v>
      </c>
      <c r="J33">
        <v>0.33013613052413254</v>
      </c>
    </row>
    <row r="34" spans="1:10" x14ac:dyDescent="0.25">
      <c r="A34" s="2">
        <v>5.63</v>
      </c>
      <c r="I34" t="s">
        <v>29</v>
      </c>
      <c r="J34">
        <v>-1.2216402928732226</v>
      </c>
    </row>
    <row r="35" spans="1:10" x14ac:dyDescent="0.25">
      <c r="A35" s="2">
        <v>5.49</v>
      </c>
      <c r="I35" t="s">
        <v>30</v>
      </c>
      <c r="J35">
        <v>-4.2933716811072343E-4</v>
      </c>
    </row>
    <row r="36" spans="1:10" x14ac:dyDescent="0.25">
      <c r="A36" s="2">
        <v>4.79</v>
      </c>
      <c r="I36" t="s">
        <v>31</v>
      </c>
      <c r="J36">
        <v>1.9600000000000009</v>
      </c>
    </row>
    <row r="37" spans="1:10" x14ac:dyDescent="0.25">
      <c r="A37" s="2">
        <v>4.76</v>
      </c>
      <c r="I37" t="s">
        <v>32</v>
      </c>
      <c r="J37">
        <v>4.0199999999999996</v>
      </c>
    </row>
    <row r="38" spans="1:10" x14ac:dyDescent="0.25">
      <c r="A38" s="2">
        <v>4.3099999999999996</v>
      </c>
      <c r="I38" t="s">
        <v>33</v>
      </c>
      <c r="J38">
        <v>5.98</v>
      </c>
    </row>
    <row r="39" spans="1:10" x14ac:dyDescent="0.25">
      <c r="A39" s="2">
        <v>5.1100000000000003</v>
      </c>
      <c r="I39" t="s">
        <v>34</v>
      </c>
      <c r="J39">
        <v>696.03000000000031</v>
      </c>
    </row>
    <row r="40" spans="1:10" ht="15.75" thickBot="1" x14ac:dyDescent="0.3">
      <c r="A40" s="2">
        <v>5.96</v>
      </c>
      <c r="I40" s="22" t="s">
        <v>35</v>
      </c>
      <c r="J40" s="22">
        <v>140</v>
      </c>
    </row>
    <row r="41" spans="1:10" x14ac:dyDescent="0.25">
      <c r="A41" s="2">
        <v>4.6100000000000003</v>
      </c>
    </row>
    <row r="42" spans="1:10" x14ac:dyDescent="0.25">
      <c r="A42" s="2">
        <v>4.12</v>
      </c>
    </row>
    <row r="43" spans="1:10" x14ac:dyDescent="0.25">
      <c r="A43" s="2">
        <v>4.87</v>
      </c>
    </row>
    <row r="44" spans="1:10" x14ac:dyDescent="0.25">
      <c r="A44" s="2">
        <v>5.13</v>
      </c>
    </row>
    <row r="45" spans="1:10" x14ac:dyDescent="0.25">
      <c r="A45" s="2">
        <v>5.22</v>
      </c>
    </row>
    <row r="46" spans="1:10" x14ac:dyDescent="0.25">
      <c r="A46" s="2">
        <v>5.31</v>
      </c>
    </row>
    <row r="47" spans="1:10" x14ac:dyDescent="0.25">
      <c r="A47" s="2">
        <v>4.21</v>
      </c>
    </row>
    <row r="48" spans="1:10" x14ac:dyDescent="0.25">
      <c r="A48" s="2">
        <v>5.18</v>
      </c>
    </row>
    <row r="49" spans="1:1" x14ac:dyDescent="0.25">
      <c r="A49" s="2">
        <v>5.67</v>
      </c>
    </row>
    <row r="50" spans="1:1" x14ac:dyDescent="0.25">
      <c r="A50" s="2">
        <v>5.51</v>
      </c>
    </row>
    <row r="51" spans="1:1" x14ac:dyDescent="0.25">
      <c r="A51" s="2">
        <v>4.32</v>
      </c>
    </row>
    <row r="52" spans="1:1" x14ac:dyDescent="0.25">
      <c r="A52" s="2">
        <v>4.29</v>
      </c>
    </row>
    <row r="53" spans="1:1" x14ac:dyDescent="0.25">
      <c r="A53" s="2">
        <v>5.14</v>
      </c>
    </row>
    <row r="54" spans="1:1" x14ac:dyDescent="0.25">
      <c r="A54" s="2">
        <v>5.64</v>
      </c>
    </row>
    <row r="55" spans="1:1" x14ac:dyDescent="0.25">
      <c r="A55" s="2">
        <v>4.2699999999999996</v>
      </c>
    </row>
    <row r="56" spans="1:1" x14ac:dyDescent="0.25">
      <c r="A56" s="2">
        <v>4.47</v>
      </c>
    </row>
    <row r="57" spans="1:1" x14ac:dyDescent="0.25">
      <c r="A57" s="2">
        <v>4.49</v>
      </c>
    </row>
    <row r="58" spans="1:1" x14ac:dyDescent="0.25">
      <c r="A58" s="2">
        <v>5.45</v>
      </c>
    </row>
    <row r="59" spans="1:1" x14ac:dyDescent="0.25">
      <c r="A59" s="2">
        <v>5.6</v>
      </c>
    </row>
    <row r="60" spans="1:1" x14ac:dyDescent="0.25">
      <c r="A60" s="2">
        <v>4.13</v>
      </c>
    </row>
    <row r="61" spans="1:1" x14ac:dyDescent="0.25">
      <c r="A61" s="2">
        <v>4.63</v>
      </c>
    </row>
    <row r="62" spans="1:1" x14ac:dyDescent="0.25">
      <c r="A62" s="2">
        <v>5.55</v>
      </c>
    </row>
    <row r="63" spans="1:1" x14ac:dyDescent="0.25">
      <c r="A63" s="2">
        <v>4.12</v>
      </c>
    </row>
    <row r="64" spans="1:1" x14ac:dyDescent="0.25">
      <c r="A64" s="2">
        <v>4.9000000000000004</v>
      </c>
    </row>
    <row r="65" spans="1:1" x14ac:dyDescent="0.25">
      <c r="A65" s="2">
        <v>4.67</v>
      </c>
    </row>
    <row r="66" spans="1:1" x14ac:dyDescent="0.25">
      <c r="A66" s="2">
        <v>5.17</v>
      </c>
    </row>
    <row r="67" spans="1:1" x14ac:dyDescent="0.25">
      <c r="A67" s="2">
        <v>5.36</v>
      </c>
    </row>
    <row r="68" spans="1:1" x14ac:dyDescent="0.25">
      <c r="A68" s="2">
        <v>4.0199999999999996</v>
      </c>
    </row>
    <row r="69" spans="1:1" x14ac:dyDescent="0.25">
      <c r="A69" s="2">
        <v>5.88</v>
      </c>
    </row>
    <row r="70" spans="1:1" x14ac:dyDescent="0.25">
      <c r="A70" s="2">
        <v>5.26</v>
      </c>
    </row>
    <row r="71" spans="1:1" x14ac:dyDescent="0.25">
      <c r="A71" s="2">
        <v>5.7</v>
      </c>
    </row>
    <row r="72" spans="1:1" x14ac:dyDescent="0.25">
      <c r="A72" s="2">
        <v>5.13</v>
      </c>
    </row>
    <row r="73" spans="1:1" x14ac:dyDescent="0.25">
      <c r="A73" s="2">
        <v>4.29</v>
      </c>
    </row>
    <row r="74" spans="1:1" x14ac:dyDescent="0.25">
      <c r="A74" s="2">
        <v>5.68</v>
      </c>
    </row>
    <row r="75" spans="1:1" x14ac:dyDescent="0.25">
      <c r="A75" s="2">
        <v>4.97</v>
      </c>
    </row>
    <row r="76" spans="1:1" x14ac:dyDescent="0.25">
      <c r="A76" s="2">
        <v>5.94</v>
      </c>
    </row>
    <row r="77" spans="1:1" x14ac:dyDescent="0.25">
      <c r="A77" s="2">
        <v>5.05</v>
      </c>
    </row>
    <row r="78" spans="1:1" x14ac:dyDescent="0.25">
      <c r="A78" s="2">
        <v>4.4000000000000004</v>
      </c>
    </row>
    <row r="79" spans="1:1" x14ac:dyDescent="0.25">
      <c r="A79" s="2">
        <v>5.46</v>
      </c>
    </row>
    <row r="80" spans="1:1" x14ac:dyDescent="0.25">
      <c r="A80" s="2">
        <v>5.3</v>
      </c>
    </row>
    <row r="81" spans="1:1" x14ac:dyDescent="0.25">
      <c r="A81" s="2">
        <v>5.04</v>
      </c>
    </row>
    <row r="82" spans="1:1" x14ac:dyDescent="0.25">
      <c r="A82" s="2">
        <v>5.69</v>
      </c>
    </row>
    <row r="83" spans="1:1" x14ac:dyDescent="0.25">
      <c r="A83" s="2">
        <v>4.6500000000000004</v>
      </c>
    </row>
    <row r="84" spans="1:1" x14ac:dyDescent="0.25">
      <c r="A84" s="2">
        <v>5.74</v>
      </c>
    </row>
    <row r="85" spans="1:1" x14ac:dyDescent="0.25">
      <c r="A85" s="2">
        <v>5.8</v>
      </c>
    </row>
    <row r="86" spans="1:1" x14ac:dyDescent="0.25">
      <c r="A86" s="2">
        <v>4.4000000000000004</v>
      </c>
    </row>
    <row r="87" spans="1:1" x14ac:dyDescent="0.25">
      <c r="A87" s="2">
        <v>4.34</v>
      </c>
    </row>
    <row r="88" spans="1:1" x14ac:dyDescent="0.25">
      <c r="A88" s="2">
        <v>5.37</v>
      </c>
    </row>
    <row r="89" spans="1:1" x14ac:dyDescent="0.25">
      <c r="A89" s="2">
        <v>4.12</v>
      </c>
    </row>
    <row r="90" spans="1:1" x14ac:dyDescent="0.25">
      <c r="A90" s="2">
        <v>5.74</v>
      </c>
    </row>
    <row r="91" spans="1:1" x14ac:dyDescent="0.25">
      <c r="A91" s="2">
        <v>4.1500000000000004</v>
      </c>
    </row>
    <row r="92" spans="1:1" x14ac:dyDescent="0.25">
      <c r="A92" s="2">
        <v>4.7699999999999996</v>
      </c>
    </row>
    <row r="93" spans="1:1" x14ac:dyDescent="0.25">
      <c r="A93" s="2">
        <v>4.79</v>
      </c>
    </row>
    <row r="94" spans="1:1" x14ac:dyDescent="0.25">
      <c r="A94" s="2">
        <v>4.54</v>
      </c>
    </row>
    <row r="95" spans="1:1" x14ac:dyDescent="0.25">
      <c r="A95" s="2">
        <v>5.5</v>
      </c>
    </row>
    <row r="96" spans="1:1" x14ac:dyDescent="0.25">
      <c r="A96" s="2">
        <v>4.54</v>
      </c>
    </row>
    <row r="97" spans="1:1" x14ac:dyDescent="0.25">
      <c r="A97" s="2">
        <v>4.8099999999999996</v>
      </c>
    </row>
    <row r="98" spans="1:1" x14ac:dyDescent="0.25">
      <c r="A98" s="2">
        <v>5.48</v>
      </c>
    </row>
    <row r="99" spans="1:1" x14ac:dyDescent="0.25">
      <c r="A99" s="2">
        <v>4.8899999999999997</v>
      </c>
    </row>
    <row r="100" spans="1:1" x14ac:dyDescent="0.25">
      <c r="A100" s="2">
        <v>4.7300000000000004</v>
      </c>
    </row>
    <row r="101" spans="1:1" x14ac:dyDescent="0.25">
      <c r="A101" s="2">
        <v>4.0199999999999996</v>
      </c>
    </row>
    <row r="102" spans="1:1" x14ac:dyDescent="0.25">
      <c r="A102" s="2">
        <v>4.12</v>
      </c>
    </row>
    <row r="103" spans="1:1" x14ac:dyDescent="0.25">
      <c r="A103" s="2">
        <v>4.87</v>
      </c>
    </row>
    <row r="104" spans="1:1" x14ac:dyDescent="0.25">
      <c r="A104" s="2">
        <v>4.8099999999999996</v>
      </c>
    </row>
    <row r="105" spans="1:1" x14ac:dyDescent="0.25">
      <c r="A105" s="2">
        <v>4.96</v>
      </c>
    </row>
    <row r="106" spans="1:1" x14ac:dyDescent="0.25">
      <c r="A106" s="2">
        <v>4.6100000000000003</v>
      </c>
    </row>
    <row r="107" spans="1:1" x14ac:dyDescent="0.25">
      <c r="A107" s="2">
        <v>4.78</v>
      </c>
    </row>
    <row r="108" spans="1:1" x14ac:dyDescent="0.25">
      <c r="A108" s="2">
        <v>5.13</v>
      </c>
    </row>
    <row r="109" spans="1:1" x14ac:dyDescent="0.25">
      <c r="A109" s="2">
        <v>4.87</v>
      </c>
    </row>
    <row r="110" spans="1:1" x14ac:dyDescent="0.25">
      <c r="A110" s="2">
        <v>5.48</v>
      </c>
    </row>
    <row r="111" spans="1:1" x14ac:dyDescent="0.25">
      <c r="A111" s="2">
        <v>4.25</v>
      </c>
    </row>
    <row r="112" spans="1:1" x14ac:dyDescent="0.25">
      <c r="A112" s="2">
        <v>4.32</v>
      </c>
    </row>
    <row r="113" spans="1:1" x14ac:dyDescent="0.25">
      <c r="A113" s="2">
        <v>5.33</v>
      </c>
    </row>
    <row r="114" spans="1:1" x14ac:dyDescent="0.25">
      <c r="A114" s="2">
        <v>4.21</v>
      </c>
    </row>
    <row r="115" spans="1:1" x14ac:dyDescent="0.25">
      <c r="A115" s="2">
        <v>5.41</v>
      </c>
    </row>
    <row r="116" spans="1:1" x14ac:dyDescent="0.25">
      <c r="A116" s="2">
        <v>4.12</v>
      </c>
    </row>
    <row r="117" spans="1:1" x14ac:dyDescent="0.25">
      <c r="A117" s="2">
        <v>4.3</v>
      </c>
    </row>
    <row r="118" spans="1:1" x14ac:dyDescent="0.25">
      <c r="A118" s="2">
        <v>4.1100000000000003</v>
      </c>
    </row>
    <row r="119" spans="1:1" x14ac:dyDescent="0.25">
      <c r="A119" s="2">
        <v>4.1399999999999997</v>
      </c>
    </row>
    <row r="120" spans="1:1" x14ac:dyDescent="0.25">
      <c r="A120" s="2">
        <v>4.3099999999999996</v>
      </c>
    </row>
    <row r="121" spans="1:1" x14ac:dyDescent="0.25">
      <c r="A121" s="2">
        <v>5.58</v>
      </c>
    </row>
    <row r="122" spans="1:1" x14ac:dyDescent="0.25">
      <c r="A122" s="2">
        <v>4.6900000000000004</v>
      </c>
    </row>
    <row r="123" spans="1:1" x14ac:dyDescent="0.25">
      <c r="A123" s="2">
        <v>4.84</v>
      </c>
    </row>
    <row r="124" spans="1:1" x14ac:dyDescent="0.25">
      <c r="A124" s="2">
        <v>5.84</v>
      </c>
    </row>
    <row r="125" spans="1:1" x14ac:dyDescent="0.25">
      <c r="A125" s="2">
        <v>5.76</v>
      </c>
    </row>
    <row r="126" spans="1:1" x14ac:dyDescent="0.25">
      <c r="A126" s="2">
        <v>5.44</v>
      </c>
    </row>
    <row r="127" spans="1:1" x14ac:dyDescent="0.25">
      <c r="A127" s="2">
        <v>4.04</v>
      </c>
    </row>
    <row r="128" spans="1:1" x14ac:dyDescent="0.25">
      <c r="A128" s="2">
        <v>5.22</v>
      </c>
    </row>
    <row r="129" spans="1:1" x14ac:dyDescent="0.25">
      <c r="A129" s="2">
        <v>4.0599999999999996</v>
      </c>
    </row>
    <row r="130" spans="1:1" x14ac:dyDescent="0.25">
      <c r="A130" s="2">
        <v>5.07</v>
      </c>
    </row>
    <row r="131" spans="1:1" x14ac:dyDescent="0.25">
      <c r="A131" s="2">
        <v>4.08</v>
      </c>
    </row>
    <row r="132" spans="1:1" x14ac:dyDescent="0.25">
      <c r="A132" s="2">
        <v>5.81</v>
      </c>
    </row>
    <row r="133" spans="1:1" x14ac:dyDescent="0.25">
      <c r="A133" s="2">
        <v>4.7300000000000004</v>
      </c>
    </row>
    <row r="134" spans="1:1" x14ac:dyDescent="0.25">
      <c r="A134" s="2">
        <v>5.64</v>
      </c>
    </row>
    <row r="135" spans="1:1" x14ac:dyDescent="0.25">
      <c r="A135" s="2">
        <v>5.32</v>
      </c>
    </row>
    <row r="136" spans="1:1" x14ac:dyDescent="0.25">
      <c r="A136" s="2">
        <v>4.97</v>
      </c>
    </row>
    <row r="137" spans="1:1" x14ac:dyDescent="0.25">
      <c r="A137" s="2">
        <v>4.5199999999999996</v>
      </c>
    </row>
    <row r="138" spans="1:1" x14ac:dyDescent="0.25">
      <c r="A138" s="2">
        <v>4.4400000000000004</v>
      </c>
    </row>
    <row r="139" spans="1:1" x14ac:dyDescent="0.25">
      <c r="A139" s="2">
        <v>5.87</v>
      </c>
    </row>
    <row r="140" spans="1:1" x14ac:dyDescent="0.25">
      <c r="A140" s="2">
        <v>4.41</v>
      </c>
    </row>
  </sheetData>
  <mergeCells count="1">
    <mergeCell ref="E15:I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90356-45A2-4912-8640-6708732EC432}">
  <dimension ref="A1:I120"/>
  <sheetViews>
    <sheetView topLeftCell="A12" zoomScale="277" zoomScaleNormal="232" workbookViewId="0">
      <selection activeCell="G23" sqref="G23"/>
    </sheetView>
  </sheetViews>
  <sheetFormatPr defaultRowHeight="15" x14ac:dyDescent="0.25"/>
  <sheetData>
    <row r="1" spans="1:9" x14ac:dyDescent="0.25">
      <c r="A1" s="3">
        <v>4</v>
      </c>
      <c r="C1" t="s">
        <v>71</v>
      </c>
    </row>
    <row r="2" spans="1:9" x14ac:dyDescent="0.25">
      <c r="A2" s="3">
        <v>1</v>
      </c>
      <c r="C2" t="s">
        <v>2</v>
      </c>
    </row>
    <row r="3" spans="1:9" x14ac:dyDescent="0.25">
      <c r="A3" s="3">
        <v>3</v>
      </c>
      <c r="C3" t="s">
        <v>58</v>
      </c>
      <c r="D3">
        <f>COUNT(A1:A120)</f>
        <v>120</v>
      </c>
    </row>
    <row r="4" spans="1:9" x14ac:dyDescent="0.25">
      <c r="A4" s="3">
        <v>1</v>
      </c>
    </row>
    <row r="5" spans="1:9" ht="15.75" thickBot="1" x14ac:dyDescent="0.3">
      <c r="A5" s="3">
        <v>1</v>
      </c>
      <c r="C5" s="27" t="s">
        <v>3</v>
      </c>
      <c r="I5" s="27" t="s">
        <v>10</v>
      </c>
    </row>
    <row r="6" spans="1:9" ht="15.75" thickBot="1" x14ac:dyDescent="0.3">
      <c r="A6" s="3">
        <v>6</v>
      </c>
      <c r="C6" s="47" t="s">
        <v>4</v>
      </c>
      <c r="D6" s="48"/>
      <c r="E6" s="48"/>
      <c r="F6" s="48"/>
      <c r="G6" s="49"/>
    </row>
    <row r="7" spans="1:9" ht="15.75" thickBot="1" x14ac:dyDescent="0.3">
      <c r="A7" s="3">
        <v>0</v>
      </c>
      <c r="C7" s="39" t="s">
        <v>5</v>
      </c>
      <c r="D7" s="40" t="s">
        <v>6</v>
      </c>
      <c r="E7" s="40" t="s">
        <v>7</v>
      </c>
      <c r="F7" s="40" t="s">
        <v>8</v>
      </c>
      <c r="G7" s="41" t="s">
        <v>9</v>
      </c>
    </row>
    <row r="8" spans="1:9" x14ac:dyDescent="0.25">
      <c r="A8" s="3">
        <v>3</v>
      </c>
      <c r="C8" s="31">
        <v>0</v>
      </c>
      <c r="D8" s="32">
        <f>COUNTIF($A$1:$A$120,C8)</f>
        <v>17</v>
      </c>
      <c r="E8" s="33">
        <f>D8/120</f>
        <v>0.14166666666666666</v>
      </c>
      <c r="F8" s="32">
        <f>D8</f>
        <v>17</v>
      </c>
      <c r="G8" s="34">
        <f>E8</f>
        <v>0.14166666666666666</v>
      </c>
    </row>
    <row r="9" spans="1:9" x14ac:dyDescent="0.25">
      <c r="A9" s="3">
        <v>6</v>
      </c>
      <c r="C9" s="31">
        <v>1</v>
      </c>
      <c r="D9" s="32">
        <f t="shared" ref="D9:D14" si="0">COUNTIF($A$1:$A$120,C9)</f>
        <v>18</v>
      </c>
      <c r="E9" s="33">
        <f t="shared" ref="E9:E15" si="1">D9/120</f>
        <v>0.15</v>
      </c>
      <c r="F9" s="32">
        <f>F8+D9</f>
        <v>35</v>
      </c>
      <c r="G9" s="34">
        <f>G8+E9</f>
        <v>0.29166666666666663</v>
      </c>
    </row>
    <row r="10" spans="1:9" x14ac:dyDescent="0.25">
      <c r="A10" s="3">
        <v>2</v>
      </c>
      <c r="C10" s="31">
        <v>2</v>
      </c>
      <c r="D10" s="32">
        <f t="shared" si="0"/>
        <v>19</v>
      </c>
      <c r="E10" s="33">
        <f t="shared" si="1"/>
        <v>0.15833333333333333</v>
      </c>
      <c r="F10" s="32">
        <f t="shared" ref="F10:F14" si="2">F9+D10</f>
        <v>54</v>
      </c>
      <c r="G10" s="34">
        <f t="shared" ref="G10:G14" si="3">G9+E10</f>
        <v>0.44999999999999996</v>
      </c>
    </row>
    <row r="11" spans="1:9" x14ac:dyDescent="0.25">
      <c r="A11" s="3">
        <v>1</v>
      </c>
      <c r="C11" s="31">
        <v>3</v>
      </c>
      <c r="D11" s="32">
        <f t="shared" si="0"/>
        <v>19</v>
      </c>
      <c r="E11" s="33">
        <f t="shared" si="1"/>
        <v>0.15833333333333333</v>
      </c>
      <c r="F11" s="32">
        <f t="shared" si="2"/>
        <v>73</v>
      </c>
      <c r="G11" s="34">
        <f t="shared" si="3"/>
        <v>0.60833333333333328</v>
      </c>
    </row>
    <row r="12" spans="1:9" x14ac:dyDescent="0.25">
      <c r="A12" s="3">
        <v>5</v>
      </c>
      <c r="C12" s="31">
        <v>4</v>
      </c>
      <c r="D12" s="32">
        <f t="shared" si="0"/>
        <v>14</v>
      </c>
      <c r="E12" s="33">
        <f t="shared" si="1"/>
        <v>0.11666666666666667</v>
      </c>
      <c r="F12" s="32">
        <f t="shared" si="2"/>
        <v>87</v>
      </c>
      <c r="G12" s="34">
        <f t="shared" si="3"/>
        <v>0.72499999999999998</v>
      </c>
    </row>
    <row r="13" spans="1:9" x14ac:dyDescent="0.25">
      <c r="A13" s="3">
        <v>6</v>
      </c>
      <c r="C13" s="31">
        <v>5</v>
      </c>
      <c r="D13" s="32">
        <f t="shared" si="0"/>
        <v>15</v>
      </c>
      <c r="E13" s="33">
        <f t="shared" si="1"/>
        <v>0.125</v>
      </c>
      <c r="F13" s="32">
        <f t="shared" si="2"/>
        <v>102</v>
      </c>
      <c r="G13" s="34">
        <f t="shared" si="3"/>
        <v>0.85</v>
      </c>
    </row>
    <row r="14" spans="1:9" ht="15.75" thickBot="1" x14ac:dyDescent="0.3">
      <c r="A14" s="3">
        <v>5</v>
      </c>
      <c r="C14" s="35">
        <v>6</v>
      </c>
      <c r="D14" s="36">
        <f t="shared" si="0"/>
        <v>18</v>
      </c>
      <c r="E14" s="37">
        <f t="shared" si="1"/>
        <v>0.15</v>
      </c>
      <c r="F14" s="36">
        <f t="shared" si="2"/>
        <v>120</v>
      </c>
      <c r="G14" s="38">
        <f t="shared" si="3"/>
        <v>1</v>
      </c>
    </row>
    <row r="15" spans="1:9" x14ac:dyDescent="0.25">
      <c r="A15" s="3">
        <v>3</v>
      </c>
      <c r="D15">
        <f>SUM(D8:D14)</f>
        <v>120</v>
      </c>
      <c r="E15">
        <f t="shared" si="1"/>
        <v>1</v>
      </c>
    </row>
    <row r="16" spans="1:9" ht="15.75" thickBot="1" x14ac:dyDescent="0.3">
      <c r="A16" s="3">
        <v>3</v>
      </c>
    </row>
    <row r="17" spans="1:7" x14ac:dyDescent="0.25">
      <c r="A17" s="3">
        <v>6</v>
      </c>
      <c r="C17" s="27" t="s">
        <v>12</v>
      </c>
      <c r="F17" s="23" t="s">
        <v>25</v>
      </c>
      <c r="G17" s="23"/>
    </row>
    <row r="18" spans="1:7" x14ac:dyDescent="0.25">
      <c r="A18" s="3">
        <v>2</v>
      </c>
      <c r="C18" t="s">
        <v>17</v>
      </c>
      <c r="D18">
        <v>2.93</v>
      </c>
    </row>
    <row r="19" spans="1:7" x14ac:dyDescent="0.25">
      <c r="A19" s="3">
        <v>5</v>
      </c>
      <c r="C19" t="s">
        <v>18</v>
      </c>
      <c r="D19">
        <v>2.0099999999999998</v>
      </c>
      <c r="F19" t="s">
        <v>15</v>
      </c>
      <c r="G19">
        <v>2.9333333333333331</v>
      </c>
    </row>
    <row r="20" spans="1:7" x14ac:dyDescent="0.25">
      <c r="A20" s="3">
        <v>4</v>
      </c>
      <c r="C20" t="s">
        <v>21</v>
      </c>
      <c r="D20">
        <v>3</v>
      </c>
      <c r="F20" t="s">
        <v>26</v>
      </c>
      <c r="G20">
        <v>0.18323781570819073</v>
      </c>
    </row>
    <row r="21" spans="1:7" x14ac:dyDescent="0.25">
      <c r="A21" s="3">
        <v>3</v>
      </c>
      <c r="F21" t="s">
        <v>22</v>
      </c>
      <c r="G21">
        <v>3</v>
      </c>
    </row>
    <row r="22" spans="1:7" x14ac:dyDescent="0.25">
      <c r="A22" s="3">
        <v>5</v>
      </c>
      <c r="F22" t="s">
        <v>16</v>
      </c>
      <c r="G22">
        <v>3</v>
      </c>
    </row>
    <row r="23" spans="1:7" x14ac:dyDescent="0.25">
      <c r="A23" s="3">
        <v>1</v>
      </c>
      <c r="F23" t="s">
        <v>27</v>
      </c>
      <c r="G23">
        <v>2.0072697010270106</v>
      </c>
    </row>
    <row r="24" spans="1:7" x14ac:dyDescent="0.25">
      <c r="A24" s="3">
        <v>1</v>
      </c>
      <c r="F24" t="s">
        <v>28</v>
      </c>
      <c r="G24">
        <v>4.0291316526610643</v>
      </c>
    </row>
    <row r="25" spans="1:7" x14ac:dyDescent="0.25">
      <c r="A25" s="3">
        <v>2</v>
      </c>
      <c r="F25" t="s">
        <v>29</v>
      </c>
      <c r="G25">
        <v>-1.221637931304691</v>
      </c>
    </row>
    <row r="26" spans="1:7" x14ac:dyDescent="0.25">
      <c r="A26" s="3">
        <v>3</v>
      </c>
      <c r="F26" t="s">
        <v>30</v>
      </c>
      <c r="G26">
        <v>9.9250859162303792E-2</v>
      </c>
    </row>
    <row r="27" spans="1:7" x14ac:dyDescent="0.25">
      <c r="A27" s="3">
        <v>1</v>
      </c>
      <c r="F27" t="s">
        <v>31</v>
      </c>
      <c r="G27">
        <v>6</v>
      </c>
    </row>
    <row r="28" spans="1:7" x14ac:dyDescent="0.25">
      <c r="A28" s="3">
        <v>0</v>
      </c>
      <c r="F28" t="s">
        <v>32</v>
      </c>
      <c r="G28">
        <v>0</v>
      </c>
    </row>
    <row r="29" spans="1:7" x14ac:dyDescent="0.25">
      <c r="A29" s="3">
        <v>1</v>
      </c>
      <c r="F29" t="s">
        <v>33</v>
      </c>
      <c r="G29">
        <v>6</v>
      </c>
    </row>
    <row r="30" spans="1:7" x14ac:dyDescent="0.25">
      <c r="A30" s="3">
        <v>0</v>
      </c>
      <c r="F30" t="s">
        <v>34</v>
      </c>
      <c r="G30">
        <v>352</v>
      </c>
    </row>
    <row r="31" spans="1:7" ht="15.75" thickBot="1" x14ac:dyDescent="0.3">
      <c r="A31" s="3">
        <v>1</v>
      </c>
      <c r="F31" s="22" t="s">
        <v>35</v>
      </c>
      <c r="G31" s="22">
        <v>120</v>
      </c>
    </row>
    <row r="32" spans="1:7" x14ac:dyDescent="0.25">
      <c r="A32" s="3">
        <v>2</v>
      </c>
    </row>
    <row r="33" spans="1:1" x14ac:dyDescent="0.25">
      <c r="A33" s="3">
        <v>2</v>
      </c>
    </row>
    <row r="34" spans="1:1" x14ac:dyDescent="0.25">
      <c r="A34" s="3">
        <v>6</v>
      </c>
    </row>
    <row r="35" spans="1:1" x14ac:dyDescent="0.25">
      <c r="A35" s="3">
        <v>1</v>
      </c>
    </row>
    <row r="36" spans="1:1" x14ac:dyDescent="0.25">
      <c r="A36" s="3">
        <v>3</v>
      </c>
    </row>
    <row r="37" spans="1:1" x14ac:dyDescent="0.25">
      <c r="A37" s="3">
        <v>3</v>
      </c>
    </row>
    <row r="38" spans="1:1" x14ac:dyDescent="0.25">
      <c r="A38" s="3">
        <v>1</v>
      </c>
    </row>
    <row r="39" spans="1:1" x14ac:dyDescent="0.25">
      <c r="A39" s="3">
        <v>2</v>
      </c>
    </row>
    <row r="40" spans="1:1" x14ac:dyDescent="0.25">
      <c r="A40" s="3">
        <v>2</v>
      </c>
    </row>
    <row r="41" spans="1:1" x14ac:dyDescent="0.25">
      <c r="A41" s="3">
        <v>5</v>
      </c>
    </row>
    <row r="42" spans="1:1" x14ac:dyDescent="0.25">
      <c r="A42" s="3">
        <v>3</v>
      </c>
    </row>
    <row r="43" spans="1:1" x14ac:dyDescent="0.25">
      <c r="A43" s="3">
        <v>1</v>
      </c>
    </row>
    <row r="44" spans="1:1" x14ac:dyDescent="0.25">
      <c r="A44" s="3">
        <v>2</v>
      </c>
    </row>
    <row r="45" spans="1:1" x14ac:dyDescent="0.25">
      <c r="A45" s="3">
        <v>2</v>
      </c>
    </row>
    <row r="46" spans="1:1" x14ac:dyDescent="0.25">
      <c r="A46" s="3">
        <v>3</v>
      </c>
    </row>
    <row r="47" spans="1:1" x14ac:dyDescent="0.25">
      <c r="A47" s="3">
        <v>5</v>
      </c>
    </row>
    <row r="48" spans="1:1" x14ac:dyDescent="0.25">
      <c r="A48" s="3">
        <v>6</v>
      </c>
    </row>
    <row r="49" spans="1:1" x14ac:dyDescent="0.25">
      <c r="A49" s="3">
        <v>3</v>
      </c>
    </row>
    <row r="50" spans="1:1" x14ac:dyDescent="0.25">
      <c r="A50" s="3">
        <v>1</v>
      </c>
    </row>
    <row r="51" spans="1:1" x14ac:dyDescent="0.25">
      <c r="A51" s="3">
        <v>1</v>
      </c>
    </row>
    <row r="52" spans="1:1" x14ac:dyDescent="0.25">
      <c r="A52" s="3">
        <v>0</v>
      </c>
    </row>
    <row r="53" spans="1:1" x14ac:dyDescent="0.25">
      <c r="A53" s="3">
        <v>5</v>
      </c>
    </row>
    <row r="54" spans="1:1" x14ac:dyDescent="0.25">
      <c r="A54" s="3">
        <v>6</v>
      </c>
    </row>
    <row r="55" spans="1:1" x14ac:dyDescent="0.25">
      <c r="A55" s="3">
        <v>4</v>
      </c>
    </row>
    <row r="56" spans="1:1" x14ac:dyDescent="0.25">
      <c r="A56" s="3">
        <v>6</v>
      </c>
    </row>
    <row r="57" spans="1:1" x14ac:dyDescent="0.25">
      <c r="A57" s="3">
        <v>3</v>
      </c>
    </row>
    <row r="58" spans="1:1" x14ac:dyDescent="0.25">
      <c r="A58" s="3">
        <v>2</v>
      </c>
    </row>
    <row r="59" spans="1:1" x14ac:dyDescent="0.25">
      <c r="A59" s="3">
        <v>4</v>
      </c>
    </row>
    <row r="60" spans="1:1" x14ac:dyDescent="0.25">
      <c r="A60" s="3">
        <v>4</v>
      </c>
    </row>
    <row r="61" spans="1:1" x14ac:dyDescent="0.25">
      <c r="A61" s="3">
        <v>5</v>
      </c>
    </row>
    <row r="62" spans="1:1" x14ac:dyDescent="0.25">
      <c r="A62" s="3">
        <v>0</v>
      </c>
    </row>
    <row r="63" spans="1:1" x14ac:dyDescent="0.25">
      <c r="A63" s="3">
        <v>5</v>
      </c>
    </row>
    <row r="64" spans="1:1" x14ac:dyDescent="0.25">
      <c r="A64" s="3">
        <v>2</v>
      </c>
    </row>
    <row r="65" spans="1:1" x14ac:dyDescent="0.25">
      <c r="A65" s="3">
        <v>3</v>
      </c>
    </row>
    <row r="66" spans="1:1" x14ac:dyDescent="0.25">
      <c r="A66" s="3">
        <v>2</v>
      </c>
    </row>
    <row r="67" spans="1:1" x14ac:dyDescent="0.25">
      <c r="A67" s="3">
        <v>5</v>
      </c>
    </row>
    <row r="68" spans="1:1" x14ac:dyDescent="0.25">
      <c r="A68" s="3">
        <v>3</v>
      </c>
    </row>
    <row r="69" spans="1:1" x14ac:dyDescent="0.25">
      <c r="A69" s="3">
        <v>4</v>
      </c>
    </row>
    <row r="70" spans="1:1" x14ac:dyDescent="0.25">
      <c r="A70" s="3">
        <v>3</v>
      </c>
    </row>
    <row r="71" spans="1:1" x14ac:dyDescent="0.25">
      <c r="A71" s="3">
        <v>4</v>
      </c>
    </row>
    <row r="72" spans="1:1" x14ac:dyDescent="0.25">
      <c r="A72" s="3">
        <v>4</v>
      </c>
    </row>
    <row r="73" spans="1:1" x14ac:dyDescent="0.25">
      <c r="A73" s="3">
        <v>1</v>
      </c>
    </row>
    <row r="74" spans="1:1" x14ac:dyDescent="0.25">
      <c r="A74" s="3">
        <v>0</v>
      </c>
    </row>
    <row r="75" spans="1:1" x14ac:dyDescent="0.25">
      <c r="A75" s="3">
        <v>4</v>
      </c>
    </row>
    <row r="76" spans="1:1" x14ac:dyDescent="0.25">
      <c r="A76" s="3">
        <v>4</v>
      </c>
    </row>
    <row r="77" spans="1:1" x14ac:dyDescent="0.25">
      <c r="A77" s="3">
        <v>0</v>
      </c>
    </row>
    <row r="78" spans="1:1" x14ac:dyDescent="0.25">
      <c r="A78" s="3">
        <v>6</v>
      </c>
    </row>
    <row r="79" spans="1:1" x14ac:dyDescent="0.25">
      <c r="A79" s="3">
        <v>3</v>
      </c>
    </row>
    <row r="80" spans="1:1" x14ac:dyDescent="0.25">
      <c r="A80" s="3">
        <v>1</v>
      </c>
    </row>
    <row r="81" spans="1:1" x14ac:dyDescent="0.25">
      <c r="A81" s="3">
        <v>3</v>
      </c>
    </row>
    <row r="82" spans="1:1" x14ac:dyDescent="0.25">
      <c r="A82" s="3">
        <v>4</v>
      </c>
    </row>
    <row r="83" spans="1:1" x14ac:dyDescent="0.25">
      <c r="A83" s="3">
        <v>1</v>
      </c>
    </row>
    <row r="84" spans="1:1" x14ac:dyDescent="0.25">
      <c r="A84" s="3">
        <v>6</v>
      </c>
    </row>
    <row r="85" spans="1:1" x14ac:dyDescent="0.25">
      <c r="A85" s="3">
        <v>6</v>
      </c>
    </row>
    <row r="86" spans="1:1" x14ac:dyDescent="0.25">
      <c r="A86" s="3">
        <v>0</v>
      </c>
    </row>
    <row r="87" spans="1:1" x14ac:dyDescent="0.25">
      <c r="A87" s="3">
        <v>3</v>
      </c>
    </row>
    <row r="88" spans="1:1" x14ac:dyDescent="0.25">
      <c r="A88" s="3">
        <v>0</v>
      </c>
    </row>
    <row r="89" spans="1:1" x14ac:dyDescent="0.25">
      <c r="A89" s="3">
        <v>0</v>
      </c>
    </row>
    <row r="90" spans="1:1" x14ac:dyDescent="0.25">
      <c r="A90" s="3">
        <v>4</v>
      </c>
    </row>
    <row r="91" spans="1:1" x14ac:dyDescent="0.25">
      <c r="A91" s="3">
        <v>2</v>
      </c>
    </row>
    <row r="92" spans="1:1" x14ac:dyDescent="0.25">
      <c r="A92" s="3">
        <v>2</v>
      </c>
    </row>
    <row r="93" spans="1:1" x14ac:dyDescent="0.25">
      <c r="A93" s="3">
        <v>5</v>
      </c>
    </row>
    <row r="94" spans="1:1" x14ac:dyDescent="0.25">
      <c r="A94" s="3">
        <v>6</v>
      </c>
    </row>
    <row r="95" spans="1:1" x14ac:dyDescent="0.25">
      <c r="A95" s="3">
        <v>2</v>
      </c>
    </row>
    <row r="96" spans="1:1" x14ac:dyDescent="0.25">
      <c r="A96" s="3">
        <v>6</v>
      </c>
    </row>
    <row r="97" spans="1:1" x14ac:dyDescent="0.25">
      <c r="A97" s="3">
        <v>2</v>
      </c>
    </row>
    <row r="98" spans="1:1" x14ac:dyDescent="0.25">
      <c r="A98" s="3">
        <v>5</v>
      </c>
    </row>
    <row r="99" spans="1:1" x14ac:dyDescent="0.25">
      <c r="A99" s="3">
        <v>6</v>
      </c>
    </row>
    <row r="100" spans="1:1" x14ac:dyDescent="0.25">
      <c r="A100" s="3">
        <v>5</v>
      </c>
    </row>
    <row r="101" spans="1:1" x14ac:dyDescent="0.25">
      <c r="A101" s="3">
        <v>0</v>
      </c>
    </row>
    <row r="102" spans="1:1" x14ac:dyDescent="0.25">
      <c r="A102" s="3">
        <v>4</v>
      </c>
    </row>
    <row r="103" spans="1:1" x14ac:dyDescent="0.25">
      <c r="A103" s="3">
        <v>1</v>
      </c>
    </row>
    <row r="104" spans="1:1" x14ac:dyDescent="0.25">
      <c r="A104" s="3">
        <v>0</v>
      </c>
    </row>
    <row r="105" spans="1:1" x14ac:dyDescent="0.25">
      <c r="A105" s="3">
        <v>2</v>
      </c>
    </row>
    <row r="106" spans="1:1" x14ac:dyDescent="0.25">
      <c r="A106" s="3">
        <v>6</v>
      </c>
    </row>
    <row r="107" spans="1:1" x14ac:dyDescent="0.25">
      <c r="A107" s="3">
        <v>2</v>
      </c>
    </row>
    <row r="108" spans="1:1" x14ac:dyDescent="0.25">
      <c r="A108" s="3">
        <v>0</v>
      </c>
    </row>
    <row r="109" spans="1:1" x14ac:dyDescent="0.25">
      <c r="A109" s="3">
        <v>0</v>
      </c>
    </row>
    <row r="110" spans="1:1" x14ac:dyDescent="0.25">
      <c r="A110" s="3">
        <v>6</v>
      </c>
    </row>
    <row r="111" spans="1:1" x14ac:dyDescent="0.25">
      <c r="A111" s="3">
        <v>0</v>
      </c>
    </row>
    <row r="112" spans="1:1" x14ac:dyDescent="0.25">
      <c r="A112" s="3">
        <v>5</v>
      </c>
    </row>
    <row r="113" spans="1:1" x14ac:dyDescent="0.25">
      <c r="A113" s="3">
        <v>0</v>
      </c>
    </row>
    <row r="114" spans="1:1" x14ac:dyDescent="0.25">
      <c r="A114" s="3">
        <v>6</v>
      </c>
    </row>
    <row r="115" spans="1:1" x14ac:dyDescent="0.25">
      <c r="A115" s="3">
        <v>3</v>
      </c>
    </row>
    <row r="116" spans="1:1" x14ac:dyDescent="0.25">
      <c r="A116" s="3">
        <v>4</v>
      </c>
    </row>
    <row r="117" spans="1:1" x14ac:dyDescent="0.25">
      <c r="A117" s="3">
        <v>6</v>
      </c>
    </row>
    <row r="118" spans="1:1" x14ac:dyDescent="0.25">
      <c r="A118" s="3">
        <v>0</v>
      </c>
    </row>
    <row r="119" spans="1:1" x14ac:dyDescent="0.25">
      <c r="A119" s="3">
        <v>2</v>
      </c>
    </row>
    <row r="120" spans="1:1" x14ac:dyDescent="0.25">
      <c r="A120" s="3">
        <v>5</v>
      </c>
    </row>
  </sheetData>
  <mergeCells count="1">
    <mergeCell ref="C6:G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6A3BF-49A6-4ACD-A4CC-6B431B0B6FF4}">
  <dimension ref="A1:N120"/>
  <sheetViews>
    <sheetView topLeftCell="A4" zoomScale="172" zoomScaleNormal="172" workbookViewId="0">
      <selection activeCell="H35" sqref="H35"/>
    </sheetView>
  </sheetViews>
  <sheetFormatPr defaultRowHeight="15" x14ac:dyDescent="0.25"/>
  <sheetData>
    <row r="1" spans="1:14" x14ac:dyDescent="0.25">
      <c r="A1" s="4">
        <v>1.88</v>
      </c>
      <c r="D1" t="s">
        <v>72</v>
      </c>
    </row>
    <row r="2" spans="1:14" x14ac:dyDescent="0.25">
      <c r="A2" s="4">
        <v>1.8</v>
      </c>
      <c r="D2" t="s">
        <v>2</v>
      </c>
      <c r="G2" t="s">
        <v>58</v>
      </c>
      <c r="H2">
        <f>COUNT(A1:A120)</f>
        <v>120</v>
      </c>
    </row>
    <row r="3" spans="1:14" x14ac:dyDescent="0.25">
      <c r="A3" s="4">
        <v>1.66</v>
      </c>
    </row>
    <row r="4" spans="1:14" x14ac:dyDescent="0.25">
      <c r="A4" s="4">
        <v>1.84</v>
      </c>
      <c r="D4" t="s">
        <v>47</v>
      </c>
    </row>
    <row r="5" spans="1:14" x14ac:dyDescent="0.25">
      <c r="A5" s="4">
        <v>1.79</v>
      </c>
      <c r="D5" t="s">
        <v>48</v>
      </c>
      <c r="E5">
        <f>INT(LOG(120,2))+1</f>
        <v>7</v>
      </c>
    </row>
    <row r="6" spans="1:14" x14ac:dyDescent="0.25">
      <c r="A6" s="4">
        <v>1.7</v>
      </c>
    </row>
    <row r="7" spans="1:14" x14ac:dyDescent="0.25">
      <c r="A7" s="4">
        <v>1.8</v>
      </c>
      <c r="D7" t="s">
        <v>73</v>
      </c>
    </row>
    <row r="8" spans="1:14" x14ac:dyDescent="0.25">
      <c r="A8" s="4">
        <v>1.87</v>
      </c>
      <c r="D8" t="s">
        <v>33</v>
      </c>
      <c r="E8" s="4">
        <f>MAX(A1:A120)</f>
        <v>1.99</v>
      </c>
    </row>
    <row r="9" spans="1:14" x14ac:dyDescent="0.25">
      <c r="A9" s="4">
        <v>1.7</v>
      </c>
      <c r="D9" t="s">
        <v>32</v>
      </c>
      <c r="E9" s="4">
        <f>MIN(A1:A120)</f>
        <v>1.66</v>
      </c>
    </row>
    <row r="10" spans="1:14" x14ac:dyDescent="0.25">
      <c r="A10" s="4">
        <v>1.75</v>
      </c>
      <c r="D10" t="s">
        <v>69</v>
      </c>
      <c r="E10">
        <f>(E8-E9)/7</f>
        <v>4.7142857142857153E-2</v>
      </c>
      <c r="F10" s="42">
        <v>0.05</v>
      </c>
      <c r="H10" s="27" t="s">
        <v>3</v>
      </c>
      <c r="N10" s="27" t="s">
        <v>10</v>
      </c>
    </row>
    <row r="11" spans="1:14" x14ac:dyDescent="0.25">
      <c r="A11" s="4">
        <v>1.73</v>
      </c>
      <c r="N11" t="s">
        <v>53</v>
      </c>
    </row>
    <row r="12" spans="1:14" x14ac:dyDescent="0.25">
      <c r="A12" s="4">
        <v>1.87</v>
      </c>
      <c r="D12" t="s">
        <v>74</v>
      </c>
      <c r="H12" t="s">
        <v>4</v>
      </c>
    </row>
    <row r="13" spans="1:14" x14ac:dyDescent="0.25">
      <c r="A13" s="4">
        <v>1.76</v>
      </c>
      <c r="H13" t="s">
        <v>50</v>
      </c>
      <c r="I13" t="s">
        <v>6</v>
      </c>
      <c r="J13" t="s">
        <v>7</v>
      </c>
      <c r="K13" t="s">
        <v>8</v>
      </c>
      <c r="L13" t="s">
        <v>9</v>
      </c>
    </row>
    <row r="14" spans="1:14" x14ac:dyDescent="0.25">
      <c r="A14" s="4">
        <v>1.68</v>
      </c>
      <c r="D14">
        <v>1.65</v>
      </c>
      <c r="H14" t="str">
        <f>CONCATENATE("]",D14,";",D15,"]")</f>
        <v>]1,65;1,7]</v>
      </c>
      <c r="I14">
        <f t="array" ref="I14:I20">FREQUENCY(A1:A120,D15:D21)</f>
        <v>7</v>
      </c>
      <c r="J14" s="6">
        <f>I14/120</f>
        <v>5.8333333333333334E-2</v>
      </c>
      <c r="K14">
        <f>I14</f>
        <v>7</v>
      </c>
      <c r="L14" s="7">
        <f>J14</f>
        <v>5.8333333333333334E-2</v>
      </c>
    </row>
    <row r="15" spans="1:14" x14ac:dyDescent="0.25">
      <c r="A15" s="4">
        <v>1.95</v>
      </c>
      <c r="D15">
        <f>D14+0.05</f>
        <v>1.7</v>
      </c>
      <c r="H15" t="str">
        <f t="shared" ref="H15:H20" si="0">CONCATENATE("]",D15,";",D16,"]")</f>
        <v>]1,7;1,75]</v>
      </c>
      <c r="I15">
        <v>13</v>
      </c>
      <c r="J15" s="6">
        <f t="shared" ref="J15:J20" si="1">I15/120</f>
        <v>0.10833333333333334</v>
      </c>
      <c r="K15">
        <f>K14+I15</f>
        <v>20</v>
      </c>
      <c r="L15" s="7">
        <f>L14+J15</f>
        <v>0.16666666666666669</v>
      </c>
    </row>
    <row r="16" spans="1:14" x14ac:dyDescent="0.25">
      <c r="A16" s="4">
        <v>1.78</v>
      </c>
      <c r="D16">
        <f t="shared" ref="D16:D21" si="2">D15+0.05</f>
        <v>1.75</v>
      </c>
      <c r="H16" t="str">
        <f t="shared" si="0"/>
        <v>]1,75;1,8]</v>
      </c>
      <c r="I16">
        <v>35</v>
      </c>
      <c r="J16" s="6">
        <f t="shared" si="1"/>
        <v>0.29166666666666669</v>
      </c>
      <c r="K16">
        <f t="shared" ref="K16:K20" si="3">K15+I16</f>
        <v>55</v>
      </c>
      <c r="L16" s="7">
        <f t="shared" ref="L16:L20" si="4">L15+J16</f>
        <v>0.45833333333333337</v>
      </c>
    </row>
    <row r="17" spans="1:12" x14ac:dyDescent="0.25">
      <c r="A17" s="4">
        <v>1.75</v>
      </c>
      <c r="D17">
        <f t="shared" si="2"/>
        <v>1.8</v>
      </c>
      <c r="H17" t="str">
        <f t="shared" si="0"/>
        <v>]1,8;1,85]</v>
      </c>
      <c r="I17">
        <v>30</v>
      </c>
      <c r="J17" s="6">
        <f t="shared" si="1"/>
        <v>0.25</v>
      </c>
      <c r="K17">
        <f t="shared" si="3"/>
        <v>85</v>
      </c>
      <c r="L17" s="7">
        <f t="shared" si="4"/>
        <v>0.70833333333333337</v>
      </c>
    </row>
    <row r="18" spans="1:12" x14ac:dyDescent="0.25">
      <c r="A18" s="4">
        <v>1.89</v>
      </c>
      <c r="D18">
        <f t="shared" si="2"/>
        <v>1.85</v>
      </c>
      <c r="H18" t="str">
        <f t="shared" si="0"/>
        <v>]1,85;1,9]</v>
      </c>
      <c r="I18">
        <v>25</v>
      </c>
      <c r="J18" s="6">
        <f t="shared" si="1"/>
        <v>0.20833333333333334</v>
      </c>
      <c r="K18">
        <f t="shared" si="3"/>
        <v>110</v>
      </c>
      <c r="L18" s="7">
        <f t="shared" si="4"/>
        <v>0.91666666666666674</v>
      </c>
    </row>
    <row r="19" spans="1:12" x14ac:dyDescent="0.25">
      <c r="A19" s="4">
        <v>1.75</v>
      </c>
      <c r="D19">
        <f t="shared" si="2"/>
        <v>1.9000000000000001</v>
      </c>
      <c r="H19" t="str">
        <f t="shared" si="0"/>
        <v>]1,9;1,95]</v>
      </c>
      <c r="I19">
        <v>8</v>
      </c>
      <c r="J19" s="6">
        <f t="shared" si="1"/>
        <v>6.6666666666666666E-2</v>
      </c>
      <c r="K19">
        <f t="shared" si="3"/>
        <v>118</v>
      </c>
      <c r="L19" s="7">
        <f t="shared" si="4"/>
        <v>0.98333333333333339</v>
      </c>
    </row>
    <row r="20" spans="1:12" x14ac:dyDescent="0.25">
      <c r="A20" s="4">
        <v>1.9</v>
      </c>
      <c r="D20">
        <f t="shared" si="2"/>
        <v>1.9500000000000002</v>
      </c>
      <c r="H20" t="str">
        <f t="shared" si="0"/>
        <v>]1,95;2]</v>
      </c>
      <c r="I20">
        <v>2</v>
      </c>
      <c r="J20" s="6">
        <f t="shared" si="1"/>
        <v>1.6666666666666666E-2</v>
      </c>
      <c r="K20">
        <f t="shared" si="3"/>
        <v>120</v>
      </c>
      <c r="L20" s="7">
        <f t="shared" si="4"/>
        <v>1</v>
      </c>
    </row>
    <row r="21" spans="1:12" x14ac:dyDescent="0.25">
      <c r="A21" s="4">
        <v>1.82</v>
      </c>
      <c r="D21">
        <f t="shared" si="2"/>
        <v>2</v>
      </c>
      <c r="I21">
        <f>SUM(I14:I20)</f>
        <v>120</v>
      </c>
    </row>
    <row r="22" spans="1:12" x14ac:dyDescent="0.25">
      <c r="A22" s="4">
        <v>1.8</v>
      </c>
    </row>
    <row r="23" spans="1:12" ht="15.75" thickBot="1" x14ac:dyDescent="0.3">
      <c r="A23" s="4">
        <v>1.88</v>
      </c>
      <c r="H23" s="27" t="s">
        <v>12</v>
      </c>
    </row>
    <row r="24" spans="1:12" x14ac:dyDescent="0.25">
      <c r="A24" s="4">
        <v>1.87</v>
      </c>
      <c r="D24" s="23" t="s">
        <v>25</v>
      </c>
      <c r="E24" s="23"/>
      <c r="H24" t="s">
        <v>17</v>
      </c>
      <c r="I24" t="s">
        <v>75</v>
      </c>
    </row>
    <row r="25" spans="1:12" x14ac:dyDescent="0.25">
      <c r="A25" s="4">
        <v>1.76</v>
      </c>
      <c r="H25" t="s">
        <v>18</v>
      </c>
      <c r="I25" t="s">
        <v>76</v>
      </c>
    </row>
    <row r="26" spans="1:12" x14ac:dyDescent="0.25">
      <c r="A26" s="4">
        <v>1.88</v>
      </c>
      <c r="D26" t="s">
        <v>15</v>
      </c>
      <c r="E26">
        <v>1.8190833333333338</v>
      </c>
      <c r="H26" t="s">
        <v>21</v>
      </c>
      <c r="I26" t="s">
        <v>77</v>
      </c>
    </row>
    <row r="27" spans="1:12" x14ac:dyDescent="0.25">
      <c r="A27" s="4">
        <v>1.83</v>
      </c>
      <c r="D27" t="s">
        <v>26</v>
      </c>
      <c r="E27">
        <v>5.9679299712650288E-3</v>
      </c>
      <c r="H27" t="s">
        <v>24</v>
      </c>
      <c r="I27" t="s">
        <v>78</v>
      </c>
    </row>
    <row r="28" spans="1:12" x14ac:dyDescent="0.25">
      <c r="A28" s="4">
        <v>1.92</v>
      </c>
      <c r="D28" t="s">
        <v>22</v>
      </c>
      <c r="E28">
        <v>1.82</v>
      </c>
    </row>
    <row r="29" spans="1:12" x14ac:dyDescent="0.25">
      <c r="A29" s="4">
        <v>1.82</v>
      </c>
      <c r="D29" t="s">
        <v>16</v>
      </c>
      <c r="E29">
        <v>1.8</v>
      </c>
    </row>
    <row r="30" spans="1:12" x14ac:dyDescent="0.25">
      <c r="A30" s="4">
        <v>1.9</v>
      </c>
      <c r="D30" t="s">
        <v>27</v>
      </c>
      <c r="E30">
        <v>6.5375397337460284E-2</v>
      </c>
    </row>
    <row r="31" spans="1:12" x14ac:dyDescent="0.25">
      <c r="A31" s="4">
        <v>1.76</v>
      </c>
      <c r="D31" t="s">
        <v>28</v>
      </c>
      <c r="E31">
        <v>4.2739425770308087E-3</v>
      </c>
    </row>
    <row r="32" spans="1:12" x14ac:dyDescent="0.25">
      <c r="A32" s="4">
        <v>1.83</v>
      </c>
      <c r="D32" t="s">
        <v>29</v>
      </c>
      <c r="E32">
        <v>-0.18646006386078406</v>
      </c>
    </row>
    <row r="33" spans="1:5" x14ac:dyDescent="0.25">
      <c r="A33" s="4">
        <v>1.85</v>
      </c>
      <c r="D33" t="s">
        <v>30</v>
      </c>
      <c r="E33">
        <v>2.2441481844546852E-2</v>
      </c>
    </row>
    <row r="34" spans="1:5" x14ac:dyDescent="0.25">
      <c r="A34" s="4">
        <v>1.78</v>
      </c>
      <c r="D34" t="s">
        <v>31</v>
      </c>
      <c r="E34">
        <v>0.33000000000000007</v>
      </c>
    </row>
    <row r="35" spans="1:5" x14ac:dyDescent="0.25">
      <c r="A35" s="4">
        <v>1.75</v>
      </c>
      <c r="D35" t="s">
        <v>32</v>
      </c>
      <c r="E35">
        <v>1.66</v>
      </c>
    </row>
    <row r="36" spans="1:5" x14ac:dyDescent="0.25">
      <c r="A36" s="4">
        <v>1.85</v>
      </c>
      <c r="D36" t="s">
        <v>33</v>
      </c>
      <c r="E36">
        <v>1.99</v>
      </c>
    </row>
    <row r="37" spans="1:5" x14ac:dyDescent="0.25">
      <c r="A37" s="4">
        <v>1.98</v>
      </c>
      <c r="D37" t="s">
        <v>34</v>
      </c>
      <c r="E37">
        <v>218.29000000000005</v>
      </c>
    </row>
    <row r="38" spans="1:5" ht="15.75" thickBot="1" x14ac:dyDescent="0.3">
      <c r="A38" s="4">
        <v>1.81</v>
      </c>
      <c r="D38" s="22" t="s">
        <v>35</v>
      </c>
      <c r="E38" s="22">
        <v>120</v>
      </c>
    </row>
    <row r="39" spans="1:5" x14ac:dyDescent="0.25">
      <c r="A39" s="4">
        <v>1.91</v>
      </c>
    </row>
    <row r="40" spans="1:5" x14ac:dyDescent="0.25">
      <c r="A40" s="4">
        <v>1.92</v>
      </c>
    </row>
    <row r="41" spans="1:5" x14ac:dyDescent="0.25">
      <c r="A41" s="4">
        <v>1.83</v>
      </c>
    </row>
    <row r="42" spans="1:5" x14ac:dyDescent="0.25">
      <c r="A42" s="4">
        <v>1.8</v>
      </c>
    </row>
    <row r="43" spans="1:5" x14ac:dyDescent="0.25">
      <c r="A43" s="4">
        <v>1.95</v>
      </c>
    </row>
    <row r="44" spans="1:5" x14ac:dyDescent="0.25">
      <c r="A44" s="4">
        <v>1.89</v>
      </c>
    </row>
    <row r="45" spans="1:5" x14ac:dyDescent="0.25">
      <c r="A45" s="4">
        <v>1.77</v>
      </c>
    </row>
    <row r="46" spans="1:5" x14ac:dyDescent="0.25">
      <c r="A46" s="4">
        <v>1.7</v>
      </c>
    </row>
    <row r="47" spans="1:5" x14ac:dyDescent="0.25">
      <c r="A47" s="4">
        <v>1.88</v>
      </c>
    </row>
    <row r="48" spans="1:5" x14ac:dyDescent="0.25">
      <c r="A48" s="4">
        <v>1.8</v>
      </c>
    </row>
    <row r="49" spans="1:1" x14ac:dyDescent="0.25">
      <c r="A49" s="4">
        <v>1.85</v>
      </c>
    </row>
    <row r="50" spans="1:1" x14ac:dyDescent="0.25">
      <c r="A50" s="4">
        <v>1.88</v>
      </c>
    </row>
    <row r="51" spans="1:1" x14ac:dyDescent="0.25">
      <c r="A51" s="4">
        <v>1.85</v>
      </c>
    </row>
    <row r="52" spans="1:1" x14ac:dyDescent="0.25">
      <c r="A52" s="4">
        <v>1.73</v>
      </c>
    </row>
    <row r="53" spans="1:1" x14ac:dyDescent="0.25">
      <c r="A53" s="4">
        <v>1.71</v>
      </c>
    </row>
    <row r="54" spans="1:1" x14ac:dyDescent="0.25">
      <c r="A54" s="4">
        <v>1.82</v>
      </c>
    </row>
    <row r="55" spans="1:1" x14ac:dyDescent="0.25">
      <c r="A55" s="4">
        <v>1.77</v>
      </c>
    </row>
    <row r="56" spans="1:1" x14ac:dyDescent="0.25">
      <c r="A56" s="4">
        <v>1.8</v>
      </c>
    </row>
    <row r="57" spans="1:1" x14ac:dyDescent="0.25">
      <c r="A57" s="4">
        <v>1.7</v>
      </c>
    </row>
    <row r="58" spans="1:1" x14ac:dyDescent="0.25">
      <c r="A58" s="4">
        <v>1.71</v>
      </c>
    </row>
    <row r="59" spans="1:1" x14ac:dyDescent="0.25">
      <c r="A59" s="4">
        <v>1.83</v>
      </c>
    </row>
    <row r="60" spans="1:1" x14ac:dyDescent="0.25">
      <c r="A60" s="4">
        <v>1.76</v>
      </c>
    </row>
    <row r="61" spans="1:1" x14ac:dyDescent="0.25">
      <c r="A61" s="4">
        <v>1.82</v>
      </c>
    </row>
    <row r="62" spans="1:1" x14ac:dyDescent="0.25">
      <c r="A62" s="4">
        <v>1.92</v>
      </c>
    </row>
    <row r="63" spans="1:1" x14ac:dyDescent="0.25">
      <c r="A63" s="4">
        <v>1.8</v>
      </c>
    </row>
    <row r="64" spans="1:1" x14ac:dyDescent="0.25">
      <c r="A64" s="4">
        <v>1.85</v>
      </c>
    </row>
    <row r="65" spans="1:1" x14ac:dyDescent="0.25">
      <c r="A65" s="4">
        <v>1.76</v>
      </c>
    </row>
    <row r="66" spans="1:1" x14ac:dyDescent="0.25">
      <c r="A66" s="4">
        <v>1.74</v>
      </c>
    </row>
    <row r="67" spans="1:1" x14ac:dyDescent="0.25">
      <c r="A67" s="4">
        <v>1.8</v>
      </c>
    </row>
    <row r="68" spans="1:1" x14ac:dyDescent="0.25">
      <c r="A68" s="4">
        <v>1.84</v>
      </c>
    </row>
    <row r="69" spans="1:1" x14ac:dyDescent="0.25">
      <c r="A69" s="4">
        <v>1.84</v>
      </c>
    </row>
    <row r="70" spans="1:1" x14ac:dyDescent="0.25">
      <c r="A70" s="4">
        <v>1.91</v>
      </c>
    </row>
    <row r="71" spans="1:1" x14ac:dyDescent="0.25">
      <c r="A71" s="4">
        <v>1.8</v>
      </c>
    </row>
    <row r="72" spans="1:1" x14ac:dyDescent="0.25">
      <c r="A72" s="4">
        <v>1.84</v>
      </c>
    </row>
    <row r="73" spans="1:1" x14ac:dyDescent="0.25">
      <c r="A73" s="4">
        <v>1.86</v>
      </c>
    </row>
    <row r="74" spans="1:1" x14ac:dyDescent="0.25">
      <c r="A74" s="4">
        <v>1.88</v>
      </c>
    </row>
    <row r="75" spans="1:1" x14ac:dyDescent="0.25">
      <c r="A75" s="4">
        <v>1.75</v>
      </c>
    </row>
    <row r="76" spans="1:1" x14ac:dyDescent="0.25">
      <c r="A76" s="4">
        <v>1.84</v>
      </c>
    </row>
    <row r="77" spans="1:1" x14ac:dyDescent="0.25">
      <c r="A77" s="4">
        <v>1.7</v>
      </c>
    </row>
    <row r="78" spans="1:1" x14ac:dyDescent="0.25">
      <c r="A78" s="4">
        <v>1.8</v>
      </c>
    </row>
    <row r="79" spans="1:1" x14ac:dyDescent="0.25">
      <c r="A79" s="4">
        <v>1.83</v>
      </c>
    </row>
    <row r="80" spans="1:1" x14ac:dyDescent="0.25">
      <c r="A80" s="4">
        <v>1.83</v>
      </c>
    </row>
    <row r="81" spans="1:1" x14ac:dyDescent="0.25">
      <c r="A81" s="4">
        <v>1.79</v>
      </c>
    </row>
    <row r="82" spans="1:1" x14ac:dyDescent="0.25">
      <c r="A82" s="4">
        <v>1.76</v>
      </c>
    </row>
    <row r="83" spans="1:1" x14ac:dyDescent="0.25">
      <c r="A83" s="4">
        <v>1.81</v>
      </c>
    </row>
    <row r="84" spans="1:1" x14ac:dyDescent="0.25">
      <c r="A84" s="4">
        <v>1.83</v>
      </c>
    </row>
    <row r="85" spans="1:1" x14ac:dyDescent="0.25">
      <c r="A85" s="4">
        <v>1.89</v>
      </c>
    </row>
    <row r="86" spans="1:1" x14ac:dyDescent="0.25">
      <c r="A86" s="4">
        <v>1.87</v>
      </c>
    </row>
    <row r="87" spans="1:1" x14ac:dyDescent="0.25">
      <c r="A87" s="4">
        <v>1.84</v>
      </c>
    </row>
    <row r="88" spans="1:1" x14ac:dyDescent="0.25">
      <c r="A88" s="4">
        <v>1.99</v>
      </c>
    </row>
    <row r="89" spans="1:1" x14ac:dyDescent="0.25">
      <c r="A89" s="4">
        <v>1.8</v>
      </c>
    </row>
    <row r="90" spans="1:1" x14ac:dyDescent="0.25">
      <c r="A90" s="4">
        <v>1.87</v>
      </c>
    </row>
    <row r="91" spans="1:1" x14ac:dyDescent="0.25">
      <c r="A91" s="4">
        <v>1.88</v>
      </c>
    </row>
    <row r="92" spans="1:1" x14ac:dyDescent="0.25">
      <c r="A92" s="4">
        <v>1.81</v>
      </c>
    </row>
    <row r="93" spans="1:1" x14ac:dyDescent="0.25">
      <c r="A93" s="4">
        <v>1.78</v>
      </c>
    </row>
    <row r="94" spans="1:1" x14ac:dyDescent="0.25">
      <c r="A94" s="4">
        <v>1.85</v>
      </c>
    </row>
    <row r="95" spans="1:1" x14ac:dyDescent="0.25">
      <c r="A95" s="4">
        <v>1.84</v>
      </c>
    </row>
    <row r="96" spans="1:1" x14ac:dyDescent="0.25">
      <c r="A96" s="4">
        <v>1.8</v>
      </c>
    </row>
    <row r="97" spans="1:1" x14ac:dyDescent="0.25">
      <c r="A97" s="4">
        <v>1.86</v>
      </c>
    </row>
    <row r="98" spans="1:1" x14ac:dyDescent="0.25">
      <c r="A98" s="4">
        <v>1.85</v>
      </c>
    </row>
    <row r="99" spans="1:1" x14ac:dyDescent="0.25">
      <c r="A99" s="4">
        <v>1.9</v>
      </c>
    </row>
    <row r="100" spans="1:1" x14ac:dyDescent="0.25">
      <c r="A100" s="4">
        <v>1.89</v>
      </c>
    </row>
    <row r="101" spans="1:1" x14ac:dyDescent="0.25">
      <c r="A101" s="4">
        <v>1.78</v>
      </c>
    </row>
    <row r="102" spans="1:1" x14ac:dyDescent="0.25">
      <c r="A102" s="4">
        <v>1.79</v>
      </c>
    </row>
    <row r="103" spans="1:1" x14ac:dyDescent="0.25">
      <c r="A103" s="4">
        <v>1.8</v>
      </c>
    </row>
    <row r="104" spans="1:1" x14ac:dyDescent="0.25">
      <c r="A104" s="4">
        <v>1.72</v>
      </c>
    </row>
    <row r="105" spans="1:1" x14ac:dyDescent="0.25">
      <c r="A105" s="4">
        <v>1.78</v>
      </c>
    </row>
    <row r="106" spans="1:1" x14ac:dyDescent="0.25">
      <c r="A106" s="4">
        <v>1.82</v>
      </c>
    </row>
    <row r="107" spans="1:1" x14ac:dyDescent="0.25">
      <c r="A107" s="4">
        <v>1.88</v>
      </c>
    </row>
    <row r="108" spans="1:1" x14ac:dyDescent="0.25">
      <c r="A108" s="4">
        <v>1.8</v>
      </c>
    </row>
    <row r="109" spans="1:1" x14ac:dyDescent="0.25">
      <c r="A109" s="4">
        <v>1.75</v>
      </c>
    </row>
    <row r="110" spans="1:1" x14ac:dyDescent="0.25">
      <c r="A110" s="4">
        <v>1.76</v>
      </c>
    </row>
    <row r="111" spans="1:1" x14ac:dyDescent="0.25">
      <c r="A111" s="4">
        <v>1.75</v>
      </c>
    </row>
    <row r="112" spans="1:1" x14ac:dyDescent="0.25">
      <c r="A112" s="4">
        <v>1.86</v>
      </c>
    </row>
    <row r="113" spans="1:1" x14ac:dyDescent="0.25">
      <c r="A113" s="4">
        <v>1.8</v>
      </c>
    </row>
    <row r="114" spans="1:1" x14ac:dyDescent="0.25">
      <c r="A114" s="4">
        <v>1.85</v>
      </c>
    </row>
    <row r="115" spans="1:1" x14ac:dyDescent="0.25">
      <c r="A115" s="4">
        <v>1.89</v>
      </c>
    </row>
    <row r="116" spans="1:1" x14ac:dyDescent="0.25">
      <c r="A116" s="4">
        <v>1.78</v>
      </c>
    </row>
    <row r="117" spans="1:1" x14ac:dyDescent="0.25">
      <c r="A117" s="4">
        <v>1.77</v>
      </c>
    </row>
    <row r="118" spans="1:1" x14ac:dyDescent="0.25">
      <c r="A118" s="4">
        <v>1.8</v>
      </c>
    </row>
    <row r="119" spans="1:1" x14ac:dyDescent="0.25">
      <c r="A119" s="4">
        <v>1.93</v>
      </c>
    </row>
    <row r="120" spans="1:1" x14ac:dyDescent="0.25">
      <c r="A120" s="4">
        <v>1.86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97205-C16D-400D-8D34-4BA2A40C3372}">
  <dimension ref="A1:O120"/>
  <sheetViews>
    <sheetView tabSelected="1" topLeftCell="B17" zoomScale="150" zoomScaleNormal="340" workbookViewId="0">
      <selection activeCell="D41" sqref="D41"/>
    </sheetView>
  </sheetViews>
  <sheetFormatPr defaultRowHeight="15" x14ac:dyDescent="0.25"/>
  <sheetData>
    <row r="1" spans="1:15" x14ac:dyDescent="0.25">
      <c r="A1">
        <v>0.16</v>
      </c>
      <c r="D1" t="s">
        <v>79</v>
      </c>
    </row>
    <row r="2" spans="1:15" x14ac:dyDescent="0.25">
      <c r="A2">
        <v>2.71</v>
      </c>
    </row>
    <row r="3" spans="1:15" x14ac:dyDescent="0.25">
      <c r="A3">
        <v>1.1200000000000001</v>
      </c>
      <c r="D3" t="s">
        <v>2</v>
      </c>
      <c r="G3" t="s">
        <v>58</v>
      </c>
      <c r="H3">
        <f>COUNT(A1:A120)</f>
        <v>120</v>
      </c>
    </row>
    <row r="4" spans="1:15" x14ac:dyDescent="0.25">
      <c r="A4">
        <v>2.14</v>
      </c>
    </row>
    <row r="5" spans="1:15" x14ac:dyDescent="0.25">
      <c r="A5">
        <v>3.24</v>
      </c>
      <c r="D5" t="s">
        <v>80</v>
      </c>
    </row>
    <row r="6" spans="1:15" x14ac:dyDescent="0.25">
      <c r="A6">
        <v>1.43</v>
      </c>
      <c r="D6" t="s">
        <v>48</v>
      </c>
      <c r="E6">
        <f>INT(LOG(120,2))+1</f>
        <v>7</v>
      </c>
    </row>
    <row r="7" spans="1:15" x14ac:dyDescent="0.25">
      <c r="A7">
        <v>0.27</v>
      </c>
    </row>
    <row r="8" spans="1:15" x14ac:dyDescent="0.25">
      <c r="A8">
        <v>4.34</v>
      </c>
      <c r="D8" t="s">
        <v>81</v>
      </c>
    </row>
    <row r="9" spans="1:15" x14ac:dyDescent="0.25">
      <c r="A9" s="4">
        <v>7</v>
      </c>
      <c r="D9" t="s">
        <v>33</v>
      </c>
      <c r="E9">
        <f>MAX(A1:A120)</f>
        <v>7.99</v>
      </c>
    </row>
    <row r="10" spans="1:15" x14ac:dyDescent="0.25">
      <c r="A10">
        <v>5.22</v>
      </c>
      <c r="D10" t="s">
        <v>32</v>
      </c>
      <c r="E10">
        <f>MIN(A1:A120)</f>
        <v>0.16</v>
      </c>
    </row>
    <row r="11" spans="1:15" x14ac:dyDescent="0.25">
      <c r="A11" s="4">
        <v>3.51</v>
      </c>
      <c r="D11" t="s">
        <v>69</v>
      </c>
      <c r="E11">
        <f>(E9-E10)/7</f>
        <v>1.1185714285714285</v>
      </c>
      <c r="F11" s="42">
        <v>1.1200000000000001</v>
      </c>
    </row>
    <row r="12" spans="1:15" x14ac:dyDescent="0.25">
      <c r="A12">
        <v>4.2300000000000004</v>
      </c>
    </row>
    <row r="13" spans="1:15" x14ac:dyDescent="0.25">
      <c r="A13" s="4">
        <v>2.52</v>
      </c>
      <c r="D13" t="s">
        <v>82</v>
      </c>
      <c r="G13" s="27" t="s">
        <v>3</v>
      </c>
      <c r="H13" t="s">
        <v>4</v>
      </c>
      <c r="N13" s="27" t="s">
        <v>10</v>
      </c>
      <c r="O13" t="s">
        <v>53</v>
      </c>
    </row>
    <row r="14" spans="1:15" x14ac:dyDescent="0.25">
      <c r="A14">
        <v>5.31</v>
      </c>
      <c r="D14">
        <v>0.15</v>
      </c>
      <c r="H14" t="s">
        <v>50</v>
      </c>
      <c r="I14" t="s">
        <v>6</v>
      </c>
      <c r="J14" t="s">
        <v>7</v>
      </c>
      <c r="K14" t="s">
        <v>8</v>
      </c>
      <c r="L14" t="s">
        <v>9</v>
      </c>
    </row>
    <row r="15" spans="1:15" x14ac:dyDescent="0.25">
      <c r="A15">
        <v>0.28000000000000003</v>
      </c>
      <c r="D15">
        <f>D14+1.12</f>
        <v>1.27</v>
      </c>
      <c r="H15" t="str">
        <f>CONCATENATE("]",D14,";",D15,"]")</f>
        <v>]0,15;1,27]</v>
      </c>
      <c r="I15">
        <f t="array" ref="I15:I21">FREQUENCY(A1:A120,D15:D21)</f>
        <v>23</v>
      </c>
      <c r="J15" s="6">
        <f>I15/120</f>
        <v>0.19166666666666668</v>
      </c>
      <c r="K15">
        <f>I15</f>
        <v>23</v>
      </c>
      <c r="L15" s="7">
        <f>J15</f>
        <v>0.19166666666666668</v>
      </c>
    </row>
    <row r="16" spans="1:15" x14ac:dyDescent="0.25">
      <c r="A16">
        <v>1.32</v>
      </c>
      <c r="D16">
        <f t="shared" ref="D16:D21" si="0">D15+1.12</f>
        <v>2.39</v>
      </c>
      <c r="H16" t="str">
        <f t="shared" ref="H16:H21" si="1">CONCATENATE("]",D15,";",D16,"]")</f>
        <v>]1,27;2,39]</v>
      </c>
      <c r="I16">
        <v>28</v>
      </c>
      <c r="J16" s="6">
        <f t="shared" ref="J16:J21" si="2">I16/120</f>
        <v>0.23333333333333334</v>
      </c>
      <c r="K16">
        <f>K15+I16</f>
        <v>51</v>
      </c>
      <c r="L16" s="7">
        <f>L15+J16</f>
        <v>0.42500000000000004</v>
      </c>
    </row>
    <row r="17" spans="1:12" x14ac:dyDescent="0.25">
      <c r="A17">
        <v>2.34</v>
      </c>
      <c r="D17">
        <f t="shared" si="0"/>
        <v>3.5100000000000002</v>
      </c>
      <c r="H17" t="str">
        <f t="shared" si="1"/>
        <v>]2,39;3,51]</v>
      </c>
      <c r="I17">
        <v>26</v>
      </c>
      <c r="J17" s="6">
        <f t="shared" si="2"/>
        <v>0.21666666666666667</v>
      </c>
      <c r="K17">
        <f t="shared" ref="K17:K21" si="3">K16+I17</f>
        <v>77</v>
      </c>
      <c r="L17" s="7">
        <f t="shared" ref="L17:L21" si="4">L16+J17</f>
        <v>0.64166666666666672</v>
      </c>
    </row>
    <row r="18" spans="1:12" x14ac:dyDescent="0.25">
      <c r="A18" s="4">
        <v>2.08</v>
      </c>
      <c r="D18">
        <f t="shared" si="0"/>
        <v>4.6300000000000008</v>
      </c>
      <c r="H18" t="str">
        <f t="shared" si="1"/>
        <v>]3,51;4,63]</v>
      </c>
      <c r="I18">
        <v>16</v>
      </c>
      <c r="J18" s="6">
        <f t="shared" si="2"/>
        <v>0.13333333333333333</v>
      </c>
      <c r="K18">
        <f t="shared" si="3"/>
        <v>93</v>
      </c>
      <c r="L18" s="7">
        <f t="shared" si="4"/>
        <v>0.77500000000000002</v>
      </c>
    </row>
    <row r="19" spans="1:12" x14ac:dyDescent="0.25">
      <c r="A19">
        <v>1.24</v>
      </c>
      <c r="D19">
        <f t="shared" si="0"/>
        <v>5.7500000000000009</v>
      </c>
      <c r="H19" t="str">
        <f t="shared" si="1"/>
        <v>]4,63;5,75]</v>
      </c>
      <c r="I19">
        <v>9</v>
      </c>
      <c r="J19" s="6">
        <f t="shared" si="2"/>
        <v>7.4999999999999997E-2</v>
      </c>
      <c r="K19">
        <f t="shared" si="3"/>
        <v>102</v>
      </c>
      <c r="L19" s="7">
        <f t="shared" si="4"/>
        <v>0.85</v>
      </c>
    </row>
    <row r="20" spans="1:12" x14ac:dyDescent="0.25">
      <c r="A20">
        <v>3.27</v>
      </c>
      <c r="D20">
        <f t="shared" si="0"/>
        <v>6.870000000000001</v>
      </c>
      <c r="H20" t="str">
        <f t="shared" si="1"/>
        <v>]5,75;6,87]</v>
      </c>
      <c r="I20">
        <v>9</v>
      </c>
      <c r="J20" s="6">
        <f t="shared" si="2"/>
        <v>7.4999999999999997E-2</v>
      </c>
      <c r="K20">
        <f t="shared" si="3"/>
        <v>111</v>
      </c>
      <c r="L20" s="7">
        <f t="shared" si="4"/>
        <v>0.92499999999999993</v>
      </c>
    </row>
    <row r="21" spans="1:12" x14ac:dyDescent="0.25">
      <c r="A21">
        <v>2.71</v>
      </c>
      <c r="D21">
        <f t="shared" si="0"/>
        <v>7.9900000000000011</v>
      </c>
      <c r="H21" t="str">
        <f t="shared" si="1"/>
        <v>]6,87;7,99]</v>
      </c>
      <c r="I21">
        <v>9</v>
      </c>
      <c r="J21" s="6">
        <f t="shared" si="2"/>
        <v>7.4999999999999997E-2</v>
      </c>
      <c r="K21">
        <f t="shared" si="3"/>
        <v>120</v>
      </c>
      <c r="L21" s="7">
        <f t="shared" si="4"/>
        <v>0.99999999999999989</v>
      </c>
    </row>
    <row r="22" spans="1:12" x14ac:dyDescent="0.25">
      <c r="A22">
        <v>2.14</v>
      </c>
      <c r="I22">
        <f>SUM(I15:I21)</f>
        <v>120</v>
      </c>
    </row>
    <row r="23" spans="1:12" ht="15.75" thickBot="1" x14ac:dyDescent="0.3">
      <c r="A23">
        <v>6.32</v>
      </c>
    </row>
    <row r="24" spans="1:12" x14ac:dyDescent="0.25">
      <c r="A24">
        <v>2.2400000000000002</v>
      </c>
      <c r="D24" s="23" t="s">
        <v>25</v>
      </c>
      <c r="E24" s="23"/>
    </row>
    <row r="25" spans="1:12" x14ac:dyDescent="0.25">
      <c r="A25">
        <v>1.73</v>
      </c>
    </row>
    <row r="26" spans="1:12" x14ac:dyDescent="0.25">
      <c r="A26">
        <v>2.71</v>
      </c>
      <c r="D26" t="s">
        <v>15</v>
      </c>
      <c r="E26">
        <v>3.1331666666666669</v>
      </c>
    </row>
    <row r="27" spans="1:12" x14ac:dyDescent="0.25">
      <c r="A27">
        <v>7.02</v>
      </c>
      <c r="D27" t="s">
        <v>26</v>
      </c>
      <c r="E27">
        <v>0.18393637705192487</v>
      </c>
    </row>
    <row r="28" spans="1:12" x14ac:dyDescent="0.25">
      <c r="A28" s="4">
        <v>5.12</v>
      </c>
      <c r="D28" t="s">
        <v>22</v>
      </c>
      <c r="E28">
        <v>2.71</v>
      </c>
    </row>
    <row r="29" spans="1:12" x14ac:dyDescent="0.25">
      <c r="A29">
        <v>2.34</v>
      </c>
      <c r="D29" t="s">
        <v>16</v>
      </c>
      <c r="E29">
        <v>2.71</v>
      </c>
    </row>
    <row r="30" spans="1:12" x14ac:dyDescent="0.25">
      <c r="A30">
        <v>2.71</v>
      </c>
      <c r="D30" t="s">
        <v>27</v>
      </c>
      <c r="E30">
        <v>2.0149220571422966</v>
      </c>
    </row>
    <row r="31" spans="1:12" x14ac:dyDescent="0.25">
      <c r="A31">
        <v>1.24</v>
      </c>
      <c r="D31" t="s">
        <v>28</v>
      </c>
      <c r="E31">
        <v>4.0599108963585442</v>
      </c>
    </row>
    <row r="32" spans="1:12" x14ac:dyDescent="0.25">
      <c r="A32">
        <v>3.26</v>
      </c>
      <c r="D32" t="s">
        <v>29</v>
      </c>
      <c r="E32">
        <v>-0.48425176547887894</v>
      </c>
      <c r="G32" s="27" t="s">
        <v>12</v>
      </c>
    </row>
    <row r="33" spans="1:8" x14ac:dyDescent="0.25">
      <c r="A33">
        <v>1.1599999999999999</v>
      </c>
      <c r="D33" t="s">
        <v>30</v>
      </c>
      <c r="E33">
        <v>0.62682972104146395</v>
      </c>
      <c r="G33" t="s">
        <v>17</v>
      </c>
      <c r="H33" t="s">
        <v>83</v>
      </c>
    </row>
    <row r="34" spans="1:8" x14ac:dyDescent="0.25">
      <c r="A34">
        <v>2.36</v>
      </c>
      <c r="D34" t="s">
        <v>31</v>
      </c>
      <c r="E34">
        <v>7.83</v>
      </c>
      <c r="G34" t="s">
        <v>18</v>
      </c>
      <c r="H34" t="s">
        <v>84</v>
      </c>
    </row>
    <row r="35" spans="1:8" x14ac:dyDescent="0.25">
      <c r="A35">
        <v>6.02</v>
      </c>
      <c r="D35" t="s">
        <v>32</v>
      </c>
      <c r="E35">
        <v>0.16</v>
      </c>
      <c r="G35" t="s">
        <v>21</v>
      </c>
      <c r="H35" t="s">
        <v>85</v>
      </c>
    </row>
    <row r="36" spans="1:8" x14ac:dyDescent="0.25">
      <c r="A36">
        <v>2.16</v>
      </c>
      <c r="D36" t="s">
        <v>33</v>
      </c>
      <c r="E36">
        <v>7.99</v>
      </c>
      <c r="G36" t="s">
        <v>24</v>
      </c>
      <c r="H36" s="24" t="s">
        <v>86</v>
      </c>
    </row>
    <row r="37" spans="1:8" x14ac:dyDescent="0.25">
      <c r="A37">
        <v>2.09</v>
      </c>
      <c r="D37" t="s">
        <v>34</v>
      </c>
      <c r="E37">
        <v>375.98</v>
      </c>
      <c r="G37">
        <f>COUNTIF(A1:A120, "&lt;2")</f>
        <v>36</v>
      </c>
      <c r="H37">
        <f>36/120</f>
        <v>0.3</v>
      </c>
    </row>
    <row r="38" spans="1:8" ht="15.75" thickBot="1" x14ac:dyDescent="0.3">
      <c r="A38">
        <v>2.11</v>
      </c>
      <c r="D38" s="22" t="s">
        <v>35</v>
      </c>
      <c r="E38" s="22">
        <v>120</v>
      </c>
    </row>
    <row r="39" spans="1:8" x14ac:dyDescent="0.25">
      <c r="A39">
        <v>3.86</v>
      </c>
    </row>
    <row r="40" spans="1:8" x14ac:dyDescent="0.25">
      <c r="A40">
        <v>4.5599999999999996</v>
      </c>
    </row>
    <row r="41" spans="1:8" x14ac:dyDescent="0.25">
      <c r="A41">
        <v>6.09</v>
      </c>
      <c r="C41">
        <f>COUNTIF(A1:A120,"&lt;2")</f>
        <v>36</v>
      </c>
    </row>
    <row r="42" spans="1:8" x14ac:dyDescent="0.25">
      <c r="A42">
        <v>1.08</v>
      </c>
      <c r="C42">
        <f>36/120</f>
        <v>0.3</v>
      </c>
    </row>
    <row r="43" spans="1:8" x14ac:dyDescent="0.25">
      <c r="A43">
        <v>2.72</v>
      </c>
    </row>
    <row r="44" spans="1:8" x14ac:dyDescent="0.25">
      <c r="A44">
        <v>2.71</v>
      </c>
    </row>
    <row r="45" spans="1:8" x14ac:dyDescent="0.25">
      <c r="A45">
        <v>4.97</v>
      </c>
    </row>
    <row r="46" spans="1:8" x14ac:dyDescent="0.25">
      <c r="A46">
        <v>3.01</v>
      </c>
    </row>
    <row r="47" spans="1:8" x14ac:dyDescent="0.25">
      <c r="A47">
        <v>4.1900000000000004</v>
      </c>
    </row>
    <row r="48" spans="1:8" x14ac:dyDescent="0.25">
      <c r="A48">
        <v>5.22</v>
      </c>
    </row>
    <row r="49" spans="1:1" x14ac:dyDescent="0.25">
      <c r="A49">
        <v>3.74</v>
      </c>
    </row>
    <row r="50" spans="1:1" x14ac:dyDescent="0.25">
      <c r="A50">
        <v>2.12</v>
      </c>
    </row>
    <row r="51" spans="1:1" x14ac:dyDescent="0.25">
      <c r="A51">
        <v>1.46</v>
      </c>
    </row>
    <row r="52" spans="1:1" x14ac:dyDescent="0.25">
      <c r="A52">
        <v>0.27</v>
      </c>
    </row>
    <row r="53" spans="1:1" x14ac:dyDescent="0.25">
      <c r="A53">
        <v>1.28</v>
      </c>
    </row>
    <row r="54" spans="1:1" x14ac:dyDescent="0.25">
      <c r="A54">
        <v>0.39</v>
      </c>
    </row>
    <row r="55" spans="1:1" x14ac:dyDescent="0.25">
      <c r="A55">
        <v>1.41</v>
      </c>
    </row>
    <row r="56" spans="1:1" x14ac:dyDescent="0.25">
      <c r="A56">
        <v>0.53</v>
      </c>
    </row>
    <row r="57" spans="1:1" x14ac:dyDescent="0.25">
      <c r="A57">
        <v>2.67</v>
      </c>
    </row>
    <row r="58" spans="1:1" x14ac:dyDescent="0.25">
      <c r="A58">
        <v>3.01</v>
      </c>
    </row>
    <row r="59" spans="1:1" x14ac:dyDescent="0.25">
      <c r="A59">
        <v>3.57</v>
      </c>
    </row>
    <row r="60" spans="1:1" x14ac:dyDescent="0.25">
      <c r="A60">
        <v>7.01</v>
      </c>
    </row>
    <row r="61" spans="1:1" x14ac:dyDescent="0.25">
      <c r="A61">
        <v>0.68</v>
      </c>
    </row>
    <row r="62" spans="1:1" x14ac:dyDescent="0.25">
      <c r="A62">
        <v>1.29</v>
      </c>
    </row>
    <row r="63" spans="1:1" x14ac:dyDescent="0.25">
      <c r="A63">
        <v>3.71</v>
      </c>
    </row>
    <row r="64" spans="1:1" x14ac:dyDescent="0.25">
      <c r="A64">
        <v>2.87</v>
      </c>
    </row>
    <row r="65" spans="1:1" x14ac:dyDescent="0.25">
      <c r="A65">
        <v>1.23</v>
      </c>
    </row>
    <row r="66" spans="1:1" x14ac:dyDescent="0.25">
      <c r="A66">
        <v>0.79</v>
      </c>
    </row>
    <row r="67" spans="1:1" x14ac:dyDescent="0.25">
      <c r="A67">
        <v>4.57</v>
      </c>
    </row>
    <row r="68" spans="1:1" x14ac:dyDescent="0.25">
      <c r="A68">
        <v>2.98</v>
      </c>
    </row>
    <row r="69" spans="1:1" x14ac:dyDescent="0.25">
      <c r="A69">
        <v>1.73</v>
      </c>
    </row>
    <row r="70" spans="1:1" x14ac:dyDescent="0.25">
      <c r="A70">
        <v>2.91</v>
      </c>
    </row>
    <row r="71" spans="1:1" x14ac:dyDescent="0.25">
      <c r="A71">
        <v>0.27</v>
      </c>
    </row>
    <row r="72" spans="1:1" x14ac:dyDescent="0.25">
      <c r="A72">
        <v>6.83</v>
      </c>
    </row>
    <row r="73" spans="1:1" x14ac:dyDescent="0.25">
      <c r="A73">
        <v>3.91</v>
      </c>
    </row>
    <row r="74" spans="1:1" x14ac:dyDescent="0.25">
      <c r="A74">
        <v>2.02</v>
      </c>
    </row>
    <row r="75" spans="1:1" x14ac:dyDescent="0.25">
      <c r="A75">
        <v>1.72</v>
      </c>
    </row>
    <row r="76" spans="1:1" x14ac:dyDescent="0.25">
      <c r="A76">
        <v>4.01</v>
      </c>
    </row>
    <row r="77" spans="1:1" x14ac:dyDescent="0.25">
      <c r="A77">
        <v>5.84</v>
      </c>
    </row>
    <row r="78" spans="1:1" x14ac:dyDescent="0.25">
      <c r="A78">
        <v>5.28</v>
      </c>
    </row>
    <row r="79" spans="1:1" x14ac:dyDescent="0.25">
      <c r="A79">
        <v>6.81</v>
      </c>
    </row>
    <row r="80" spans="1:1" x14ac:dyDescent="0.25">
      <c r="A80">
        <v>7.02</v>
      </c>
    </row>
    <row r="81" spans="1:1" x14ac:dyDescent="0.25">
      <c r="A81">
        <v>0.34</v>
      </c>
    </row>
    <row r="82" spans="1:1" x14ac:dyDescent="0.25">
      <c r="A82">
        <v>6.88</v>
      </c>
    </row>
    <row r="83" spans="1:1" x14ac:dyDescent="0.25">
      <c r="A83">
        <v>2.4300000000000002</v>
      </c>
    </row>
    <row r="84" spans="1:1" x14ac:dyDescent="0.25">
      <c r="A84">
        <v>1.93</v>
      </c>
    </row>
    <row r="85" spans="1:1" x14ac:dyDescent="0.25">
      <c r="A85">
        <v>0.32</v>
      </c>
    </row>
    <row r="86" spans="1:1" x14ac:dyDescent="0.25">
      <c r="A86">
        <v>0.78</v>
      </c>
    </row>
    <row r="87" spans="1:1" x14ac:dyDescent="0.25">
      <c r="A87">
        <v>1.28</v>
      </c>
    </row>
    <row r="88" spans="1:1" x14ac:dyDescent="0.25">
      <c r="A88">
        <v>7.99</v>
      </c>
    </row>
    <row r="89" spans="1:1" x14ac:dyDescent="0.25">
      <c r="A89">
        <v>4.71</v>
      </c>
    </row>
    <row r="90" spans="1:1" x14ac:dyDescent="0.25">
      <c r="A90">
        <v>5.44</v>
      </c>
    </row>
    <row r="91" spans="1:1" x14ac:dyDescent="0.25">
      <c r="A91">
        <v>2.17</v>
      </c>
    </row>
    <row r="92" spans="1:1" x14ac:dyDescent="0.25">
      <c r="A92">
        <v>0.62</v>
      </c>
    </row>
    <row r="93" spans="1:1" x14ac:dyDescent="0.25">
      <c r="A93">
        <v>1.1100000000000001</v>
      </c>
    </row>
    <row r="94" spans="1:1" x14ac:dyDescent="0.25">
      <c r="A94">
        <v>5.82</v>
      </c>
    </row>
    <row r="95" spans="1:1" x14ac:dyDescent="0.25">
      <c r="A95">
        <v>2.71</v>
      </c>
    </row>
    <row r="96" spans="1:1" x14ac:dyDescent="0.25">
      <c r="A96">
        <v>4.79</v>
      </c>
    </row>
    <row r="97" spans="1:1" x14ac:dyDescent="0.25">
      <c r="A97">
        <v>3.66</v>
      </c>
    </row>
    <row r="98" spans="1:1" x14ac:dyDescent="0.25">
      <c r="A98">
        <v>3.09</v>
      </c>
    </row>
    <row r="99" spans="1:1" x14ac:dyDescent="0.25">
      <c r="A99">
        <v>2.5099999999999998</v>
      </c>
    </row>
    <row r="100" spans="1:1" x14ac:dyDescent="0.25">
      <c r="A100">
        <v>1.72</v>
      </c>
    </row>
    <row r="101" spans="1:1" x14ac:dyDescent="0.25">
      <c r="A101">
        <v>3.81</v>
      </c>
    </row>
    <row r="102" spans="1:1" x14ac:dyDescent="0.25">
      <c r="A102">
        <v>2.73</v>
      </c>
    </row>
    <row r="103" spans="1:1" x14ac:dyDescent="0.25">
      <c r="A103">
        <v>7.09</v>
      </c>
    </row>
    <row r="104" spans="1:1" x14ac:dyDescent="0.25">
      <c r="A104">
        <v>6.44</v>
      </c>
    </row>
    <row r="105" spans="1:1" x14ac:dyDescent="0.25">
      <c r="A105">
        <v>2.2200000000000002</v>
      </c>
    </row>
    <row r="106" spans="1:1" x14ac:dyDescent="0.25">
      <c r="A106">
        <v>3.17</v>
      </c>
    </row>
    <row r="107" spans="1:1" x14ac:dyDescent="0.25">
      <c r="A107">
        <v>0.78</v>
      </c>
    </row>
    <row r="108" spans="1:1" x14ac:dyDescent="0.25">
      <c r="A108">
        <v>2.71</v>
      </c>
    </row>
    <row r="109" spans="1:1" x14ac:dyDescent="0.25">
      <c r="A109">
        <v>7.09</v>
      </c>
    </row>
    <row r="110" spans="1:1" x14ac:dyDescent="0.25">
      <c r="A110">
        <v>7.81</v>
      </c>
    </row>
    <row r="111" spans="1:1" x14ac:dyDescent="0.25">
      <c r="A111">
        <v>3.88</v>
      </c>
    </row>
    <row r="112" spans="1:1" x14ac:dyDescent="0.25">
      <c r="A112">
        <v>3.91</v>
      </c>
    </row>
    <row r="113" spans="1:1" x14ac:dyDescent="0.25">
      <c r="A113">
        <v>6.81</v>
      </c>
    </row>
    <row r="114" spans="1:1" x14ac:dyDescent="0.25">
      <c r="A114">
        <v>0.99</v>
      </c>
    </row>
    <row r="115" spans="1:1" x14ac:dyDescent="0.25">
      <c r="A115">
        <v>2.16</v>
      </c>
    </row>
    <row r="116" spans="1:1" x14ac:dyDescent="0.25">
      <c r="A116">
        <v>1.74</v>
      </c>
    </row>
    <row r="117" spans="1:1" x14ac:dyDescent="0.25">
      <c r="A117">
        <v>2.83</v>
      </c>
    </row>
    <row r="118" spans="1:1" x14ac:dyDescent="0.25">
      <c r="A118">
        <v>3.93</v>
      </c>
    </row>
    <row r="119" spans="1:1" x14ac:dyDescent="0.25">
      <c r="A119">
        <v>0.59</v>
      </c>
    </row>
    <row r="120" spans="1:1" x14ac:dyDescent="0.25">
      <c r="A120">
        <v>3.48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N.º de cafés</vt:lpstr>
      <vt:lpstr>Dureza material</vt:lpstr>
      <vt:lpstr>N.º irmãos</vt:lpstr>
      <vt:lpstr>Parafusos</vt:lpstr>
      <vt:lpstr>Pendisk</vt:lpstr>
      <vt:lpstr>Parafusos 2</vt:lpstr>
      <vt:lpstr>Fruta</vt:lpstr>
      <vt:lpstr>alturas jogadores</vt:lpstr>
      <vt:lpstr>multibanco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Claúdia  Sebastião</dc:creator>
  <cp:lastModifiedBy>Claúdia  Sebastião</cp:lastModifiedBy>
  <dcterms:created xsi:type="dcterms:W3CDTF">2024-12-02T23:30:00Z</dcterms:created>
  <dcterms:modified xsi:type="dcterms:W3CDTF">2024-12-13T17:59:15Z</dcterms:modified>
</cp:coreProperties>
</file>